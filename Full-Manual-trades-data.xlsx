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Felix/Downloads/"/>
    </mc:Choice>
  </mc:AlternateContent>
  <xr:revisionPtr revIDLastSave="0" documentId="8_{F8F1B664-8577-3C4E-AA0B-2D281B98C2BD}" xr6:coauthVersionLast="47" xr6:coauthVersionMax="47" xr10:uidLastSave="{00000000-0000-0000-0000-000000000000}"/>
  <bookViews>
    <workbookView xWindow="260" yWindow="620" windowWidth="28240" windowHeight="16120" activeTab="3" xr2:uid="{04301142-B993-9F4E-A68D-93CF25FBD068}"/>
  </bookViews>
  <sheets>
    <sheet name="Output" sheetId="4" r:id="rId1"/>
    <sheet name="Pivot" sheetId="3" r:id="rId2"/>
    <sheet name="Input" sheetId="5" r:id="rId3"/>
    <sheet name="Raw Data" sheetId="1" r:id="rId4"/>
  </sheets>
  <calcPr calcId="191029"/>
  <pivotCaches>
    <pivotCache cacheId="0" r:id="rId5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4" i="1" l="1"/>
  <c r="O95" i="1"/>
  <c r="O96" i="1"/>
  <c r="O97" i="1"/>
  <c r="O98" i="1"/>
  <c r="O99" i="1"/>
  <c r="O100" i="1"/>
  <c r="O101" i="1"/>
  <c r="N94" i="1"/>
  <c r="N95" i="1"/>
  <c r="N96" i="1"/>
  <c r="N97" i="1"/>
  <c r="N98" i="1"/>
  <c r="N99" i="1"/>
  <c r="N100" i="1"/>
  <c r="N101" i="1"/>
  <c r="M94" i="1"/>
  <c r="M95" i="1"/>
  <c r="M96" i="1"/>
  <c r="M97" i="1"/>
  <c r="M98" i="1"/>
  <c r="M99" i="1"/>
  <c r="M100" i="1"/>
  <c r="M101" i="1"/>
  <c r="L94" i="1"/>
  <c r="L95" i="1"/>
  <c r="L96" i="1"/>
  <c r="L97" i="1"/>
  <c r="L98" i="1"/>
  <c r="L99" i="1"/>
  <c r="L100" i="1"/>
  <c r="L101" i="1"/>
  <c r="K94" i="1"/>
  <c r="K95" i="1"/>
  <c r="K96" i="1"/>
  <c r="K97" i="1"/>
  <c r="K98" i="1"/>
  <c r="K99" i="1"/>
  <c r="K100" i="1"/>
  <c r="K101" i="1"/>
  <c r="J95" i="1"/>
  <c r="J96" i="1"/>
  <c r="J97" i="1"/>
  <c r="J98" i="1"/>
  <c r="J99" i="1"/>
  <c r="J100" i="1"/>
  <c r="J101" i="1"/>
  <c r="I95" i="1"/>
  <c r="I96" i="1"/>
  <c r="I97" i="1"/>
  <c r="I98" i="1"/>
  <c r="I99" i="1"/>
  <c r="I100" i="1"/>
  <c r="I101" i="1"/>
  <c r="E101" i="1"/>
  <c r="E95" i="1"/>
  <c r="J94" i="1"/>
  <c r="I94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E91" i="1"/>
  <c r="E87" i="1"/>
  <c r="E83" i="1"/>
  <c r="E79" i="1"/>
  <c r="J78" i="1"/>
  <c r="I78" i="1"/>
  <c r="K74" i="1"/>
  <c r="K75" i="1"/>
  <c r="K76" i="1"/>
  <c r="K77" i="1"/>
  <c r="J76" i="1"/>
  <c r="J77" i="1"/>
  <c r="I76" i="1"/>
  <c r="I77" i="1"/>
  <c r="E75" i="1"/>
  <c r="J75" i="1" s="1"/>
  <c r="J74" i="1"/>
  <c r="I74" i="1"/>
  <c r="K62" i="1"/>
  <c r="K63" i="1"/>
  <c r="K64" i="1"/>
  <c r="K65" i="1"/>
  <c r="K66" i="1"/>
  <c r="K67" i="1"/>
  <c r="K68" i="1"/>
  <c r="K69" i="1"/>
  <c r="K70" i="1"/>
  <c r="K71" i="1"/>
  <c r="K72" i="1"/>
  <c r="K73" i="1"/>
  <c r="J70" i="1"/>
  <c r="J71" i="1"/>
  <c r="J72" i="1"/>
  <c r="J73" i="1"/>
  <c r="I63" i="1"/>
  <c r="I64" i="1"/>
  <c r="I65" i="1"/>
  <c r="I66" i="1"/>
  <c r="I67" i="1"/>
  <c r="I68" i="1"/>
  <c r="I69" i="1"/>
  <c r="I70" i="1"/>
  <c r="I71" i="1"/>
  <c r="I72" i="1"/>
  <c r="I73" i="1"/>
  <c r="E69" i="1"/>
  <c r="J69" i="1" s="1"/>
  <c r="E68" i="1"/>
  <c r="J68" i="1"/>
  <c r="J67" i="1"/>
  <c r="J66" i="1"/>
  <c r="J65" i="1"/>
  <c r="J64" i="1"/>
  <c r="J63" i="1"/>
  <c r="J62" i="1"/>
  <c r="I62" i="1"/>
  <c r="L50" i="1"/>
  <c r="M50" i="1" s="1"/>
  <c r="N50" i="1" s="1"/>
  <c r="L51" i="1"/>
  <c r="M51" i="1" s="1"/>
  <c r="N51" i="1" s="1"/>
  <c r="K50" i="1"/>
  <c r="K51" i="1"/>
  <c r="K52" i="1"/>
  <c r="K53" i="1"/>
  <c r="K54" i="1"/>
  <c r="L55" i="1" s="1"/>
  <c r="M55" i="1" s="1"/>
  <c r="N55" i="1" s="1"/>
  <c r="K55" i="1"/>
  <c r="K56" i="1"/>
  <c r="K57" i="1"/>
  <c r="K58" i="1"/>
  <c r="K59" i="1"/>
  <c r="K60" i="1"/>
  <c r="K61" i="1"/>
  <c r="J53" i="1"/>
  <c r="J54" i="1"/>
  <c r="J55" i="1"/>
  <c r="J56" i="1"/>
  <c r="J58" i="1"/>
  <c r="J59" i="1"/>
  <c r="J60" i="1"/>
  <c r="J61" i="1"/>
  <c r="I51" i="1"/>
  <c r="I52" i="1"/>
  <c r="I53" i="1"/>
  <c r="I54" i="1"/>
  <c r="I55" i="1"/>
  <c r="I56" i="1"/>
  <c r="I57" i="1"/>
  <c r="I58" i="1"/>
  <c r="I59" i="1"/>
  <c r="I60" i="1"/>
  <c r="I61" i="1"/>
  <c r="E57" i="1"/>
  <c r="J57" i="1" s="1"/>
  <c r="J52" i="1"/>
  <c r="J51" i="1"/>
  <c r="J50" i="1"/>
  <c r="I50" i="1"/>
  <c r="K43" i="1"/>
  <c r="K44" i="1"/>
  <c r="K45" i="1"/>
  <c r="K46" i="1"/>
  <c r="K47" i="1"/>
  <c r="K48" i="1"/>
  <c r="K49" i="1"/>
  <c r="J45" i="1"/>
  <c r="J46" i="1"/>
  <c r="J47" i="1"/>
  <c r="J48" i="1"/>
  <c r="J49" i="1"/>
  <c r="I46" i="1"/>
  <c r="I47" i="1"/>
  <c r="I48" i="1"/>
  <c r="I49" i="1"/>
  <c r="E45" i="1"/>
  <c r="I45" i="1" s="1"/>
  <c r="E11" i="1"/>
  <c r="J11" i="1" s="1"/>
  <c r="E21" i="1"/>
  <c r="J21" i="1" s="1"/>
  <c r="E33" i="1"/>
  <c r="J44" i="1"/>
  <c r="I44" i="1"/>
  <c r="I39" i="1"/>
  <c r="I40" i="1"/>
  <c r="I41" i="1"/>
  <c r="I42" i="1"/>
  <c r="I43" i="1"/>
  <c r="J43" i="1"/>
  <c r="L40" i="1"/>
  <c r="M40" i="1" s="1"/>
  <c r="N40" i="1" s="1"/>
  <c r="L41" i="1"/>
  <c r="M41" i="1" s="1"/>
  <c r="N41" i="1" s="1"/>
  <c r="L42" i="1"/>
  <c r="M42" i="1" s="1"/>
  <c r="N42" i="1" s="1"/>
  <c r="K39" i="1"/>
  <c r="K40" i="1"/>
  <c r="K41" i="1"/>
  <c r="K42" i="1"/>
  <c r="J42" i="1"/>
  <c r="J41" i="1"/>
  <c r="J40" i="1"/>
  <c r="J39" i="1"/>
  <c r="K38" i="1"/>
  <c r="J38" i="1"/>
  <c r="I38" i="1"/>
  <c r="L18" i="1"/>
  <c r="M18" i="1" s="1"/>
  <c r="N18" i="1" s="1"/>
  <c r="K18" i="1"/>
  <c r="L52" i="1" s="1"/>
  <c r="M52" i="1" s="1"/>
  <c r="N52" i="1" s="1"/>
  <c r="K19" i="1"/>
  <c r="L19" i="1" s="1"/>
  <c r="M19" i="1" s="1"/>
  <c r="N19" i="1" s="1"/>
  <c r="I19" i="1"/>
  <c r="I3" i="1"/>
  <c r="I4" i="1"/>
  <c r="I5" i="1"/>
  <c r="I6" i="1"/>
  <c r="I7" i="1"/>
  <c r="I8" i="1"/>
  <c r="I9" i="1"/>
  <c r="I10" i="1"/>
  <c r="I12" i="1"/>
  <c r="I13" i="1"/>
  <c r="I14" i="1"/>
  <c r="I15" i="1"/>
  <c r="I16" i="1"/>
  <c r="I17" i="1"/>
  <c r="I18" i="1"/>
  <c r="J19" i="1"/>
  <c r="J18" i="1"/>
  <c r="K3" i="1"/>
  <c r="K4" i="1"/>
  <c r="L4" i="1" s="1"/>
  <c r="M4" i="1" s="1"/>
  <c r="N4" i="1" s="1"/>
  <c r="K5" i="1"/>
  <c r="K6" i="1"/>
  <c r="K7" i="1"/>
  <c r="K8" i="1"/>
  <c r="L8" i="1" s="1"/>
  <c r="M8" i="1" s="1"/>
  <c r="N8" i="1" s="1"/>
  <c r="K9" i="1"/>
  <c r="K10" i="1"/>
  <c r="L10" i="1" s="1"/>
  <c r="M10" i="1" s="1"/>
  <c r="N10" i="1" s="1"/>
  <c r="K11" i="1"/>
  <c r="L44" i="1" s="1"/>
  <c r="M44" i="1" s="1"/>
  <c r="N44" i="1" s="1"/>
  <c r="K12" i="1"/>
  <c r="L12" i="1" s="1"/>
  <c r="M12" i="1" s="1"/>
  <c r="N12" i="1" s="1"/>
  <c r="K13" i="1"/>
  <c r="K14" i="1"/>
  <c r="L54" i="1" s="1"/>
  <c r="M54" i="1" s="1"/>
  <c r="N54" i="1" s="1"/>
  <c r="K15" i="1"/>
  <c r="K16" i="1"/>
  <c r="L16" i="1" s="1"/>
  <c r="M16" i="1" s="1"/>
  <c r="N16" i="1" s="1"/>
  <c r="K17" i="1"/>
  <c r="K20" i="1"/>
  <c r="L20" i="1" s="1"/>
  <c r="M20" i="1" s="1"/>
  <c r="N20" i="1" s="1"/>
  <c r="K21" i="1"/>
  <c r="K22" i="1"/>
  <c r="L22" i="1" s="1"/>
  <c r="M22" i="1" s="1"/>
  <c r="N22" i="1" s="1"/>
  <c r="K23" i="1"/>
  <c r="K24" i="1"/>
  <c r="L60" i="1" s="1"/>
  <c r="M60" i="1" s="1"/>
  <c r="N60" i="1" s="1"/>
  <c r="K25" i="1"/>
  <c r="K26" i="1"/>
  <c r="L26" i="1" s="1"/>
  <c r="M26" i="1" s="1"/>
  <c r="N26" i="1" s="1"/>
  <c r="K27" i="1"/>
  <c r="K28" i="1"/>
  <c r="L28" i="1" s="1"/>
  <c r="M28" i="1" s="1"/>
  <c r="N28" i="1" s="1"/>
  <c r="K29" i="1"/>
  <c r="K30" i="1"/>
  <c r="L30" i="1" s="1"/>
  <c r="M30" i="1" s="1"/>
  <c r="N30" i="1" s="1"/>
  <c r="K31" i="1"/>
  <c r="K32" i="1"/>
  <c r="L69" i="1" s="1"/>
  <c r="M69" i="1" s="1"/>
  <c r="N69" i="1" s="1"/>
  <c r="K33" i="1"/>
  <c r="L68" i="1" s="1"/>
  <c r="M68" i="1" s="1"/>
  <c r="N68" i="1" s="1"/>
  <c r="K34" i="1"/>
  <c r="L34" i="1" s="1"/>
  <c r="M34" i="1" s="1"/>
  <c r="N34" i="1" s="1"/>
  <c r="K35" i="1"/>
  <c r="K36" i="1"/>
  <c r="L36" i="1" s="1"/>
  <c r="M36" i="1" s="1"/>
  <c r="N36" i="1" s="1"/>
  <c r="K37" i="1"/>
  <c r="K2" i="1"/>
  <c r="L3" i="1" s="1"/>
  <c r="M3" i="1" s="1"/>
  <c r="N3" i="1" s="1"/>
  <c r="J3" i="1"/>
  <c r="J4" i="1"/>
  <c r="J5" i="1"/>
  <c r="J6" i="1"/>
  <c r="J7" i="1"/>
  <c r="J8" i="1"/>
  <c r="J9" i="1"/>
  <c r="J10" i="1"/>
  <c r="J12" i="1"/>
  <c r="J13" i="1"/>
  <c r="J14" i="1"/>
  <c r="J15" i="1"/>
  <c r="J16" i="1"/>
  <c r="J17" i="1"/>
  <c r="J20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2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2" i="1"/>
  <c r="L45" i="1" l="1"/>
  <c r="M45" i="1" s="1"/>
  <c r="N45" i="1" s="1"/>
  <c r="L59" i="1"/>
  <c r="M59" i="1" s="1"/>
  <c r="N59" i="1" s="1"/>
  <c r="L72" i="1"/>
  <c r="M72" i="1" s="1"/>
  <c r="N72" i="1" s="1"/>
  <c r="L64" i="1"/>
  <c r="M64" i="1" s="1"/>
  <c r="N64" i="1" s="1"/>
  <c r="O64" i="1" s="1"/>
  <c r="I75" i="1"/>
  <c r="L77" i="1"/>
  <c r="M77" i="1" s="1"/>
  <c r="N77" i="1" s="1"/>
  <c r="O77" i="1" s="1"/>
  <c r="L58" i="1"/>
  <c r="M58" i="1" s="1"/>
  <c r="N58" i="1" s="1"/>
  <c r="L71" i="1"/>
  <c r="M71" i="1" s="1"/>
  <c r="N71" i="1" s="1"/>
  <c r="O71" i="1" s="1"/>
  <c r="L63" i="1"/>
  <c r="M63" i="1" s="1"/>
  <c r="N63" i="1" s="1"/>
  <c r="L76" i="1"/>
  <c r="M76" i="1" s="1"/>
  <c r="N76" i="1" s="1"/>
  <c r="L70" i="1"/>
  <c r="M70" i="1" s="1"/>
  <c r="N70" i="1" s="1"/>
  <c r="L62" i="1"/>
  <c r="M62" i="1" s="1"/>
  <c r="N62" i="1" s="1"/>
  <c r="O62" i="1" s="1"/>
  <c r="L75" i="1"/>
  <c r="M75" i="1" s="1"/>
  <c r="N75" i="1" s="1"/>
  <c r="L43" i="1"/>
  <c r="M43" i="1" s="1"/>
  <c r="N43" i="1" s="1"/>
  <c r="O43" i="1" s="1"/>
  <c r="L57" i="1"/>
  <c r="M57" i="1" s="1"/>
  <c r="N57" i="1" s="1"/>
  <c r="I11" i="1"/>
  <c r="L39" i="1"/>
  <c r="M39" i="1" s="1"/>
  <c r="N39" i="1" s="1"/>
  <c r="L56" i="1"/>
  <c r="M56" i="1" s="1"/>
  <c r="N56" i="1" s="1"/>
  <c r="L74" i="1"/>
  <c r="M74" i="1" s="1"/>
  <c r="N74" i="1" s="1"/>
  <c r="L38" i="1"/>
  <c r="M38" i="1" s="1"/>
  <c r="N38" i="1" s="1"/>
  <c r="L49" i="1"/>
  <c r="M49" i="1" s="1"/>
  <c r="N49" i="1" s="1"/>
  <c r="O49" i="1" s="1"/>
  <c r="L48" i="1"/>
  <c r="M48" i="1" s="1"/>
  <c r="N48" i="1" s="1"/>
  <c r="O48" i="1" s="1"/>
  <c r="L67" i="1"/>
  <c r="M67" i="1" s="1"/>
  <c r="N67" i="1" s="1"/>
  <c r="L47" i="1"/>
  <c r="M47" i="1" s="1"/>
  <c r="N47" i="1" s="1"/>
  <c r="O47" i="1" s="1"/>
  <c r="L61" i="1"/>
  <c r="M61" i="1" s="1"/>
  <c r="N61" i="1" s="1"/>
  <c r="L53" i="1"/>
  <c r="M53" i="1" s="1"/>
  <c r="N53" i="1" s="1"/>
  <c r="O53" i="1" s="1"/>
  <c r="L66" i="1"/>
  <c r="M66" i="1" s="1"/>
  <c r="N66" i="1" s="1"/>
  <c r="L46" i="1"/>
  <c r="M46" i="1" s="1"/>
  <c r="N46" i="1" s="1"/>
  <c r="O46" i="1" s="1"/>
  <c r="L73" i="1"/>
  <c r="M73" i="1" s="1"/>
  <c r="N73" i="1" s="1"/>
  <c r="O73" i="1" s="1"/>
  <c r="L65" i="1"/>
  <c r="M65" i="1" s="1"/>
  <c r="N65" i="1" s="1"/>
  <c r="O67" i="1"/>
  <c r="O56" i="1"/>
  <c r="L15" i="1"/>
  <c r="M15" i="1" s="1"/>
  <c r="N15" i="1" s="1"/>
  <c r="L7" i="1"/>
  <c r="M7" i="1" s="1"/>
  <c r="N7" i="1" s="1"/>
  <c r="L33" i="1"/>
  <c r="M33" i="1" s="1"/>
  <c r="N33" i="1" s="1"/>
  <c r="L25" i="1"/>
  <c r="M25" i="1" s="1"/>
  <c r="N25" i="1" s="1"/>
  <c r="L2" i="1"/>
  <c r="M2" i="1" s="1"/>
  <c r="N2" i="1" s="1"/>
  <c r="O61" i="1" s="1"/>
  <c r="L32" i="1"/>
  <c r="M32" i="1" s="1"/>
  <c r="N32" i="1" s="1"/>
  <c r="L24" i="1"/>
  <c r="M24" i="1" s="1"/>
  <c r="N24" i="1" s="1"/>
  <c r="L14" i="1"/>
  <c r="M14" i="1" s="1"/>
  <c r="N14" i="1" s="1"/>
  <c r="L6" i="1"/>
  <c r="M6" i="1" s="1"/>
  <c r="N6" i="1" s="1"/>
  <c r="L31" i="1"/>
  <c r="M31" i="1" s="1"/>
  <c r="N31" i="1" s="1"/>
  <c r="L23" i="1"/>
  <c r="M23" i="1" s="1"/>
  <c r="N23" i="1" s="1"/>
  <c r="O42" i="1" s="1"/>
  <c r="L13" i="1"/>
  <c r="M13" i="1" s="1"/>
  <c r="N13" i="1" s="1"/>
  <c r="L5" i="1"/>
  <c r="M5" i="1" s="1"/>
  <c r="N5" i="1" s="1"/>
  <c r="L37" i="1"/>
  <c r="M37" i="1" s="1"/>
  <c r="N37" i="1" s="1"/>
  <c r="L29" i="1"/>
  <c r="M29" i="1" s="1"/>
  <c r="N29" i="1" s="1"/>
  <c r="L21" i="1"/>
  <c r="M21" i="1" s="1"/>
  <c r="N21" i="1" s="1"/>
  <c r="L11" i="1"/>
  <c r="M11" i="1" s="1"/>
  <c r="N11" i="1" s="1"/>
  <c r="L35" i="1"/>
  <c r="M35" i="1" s="1"/>
  <c r="N35" i="1" s="1"/>
  <c r="L27" i="1"/>
  <c r="M27" i="1" s="1"/>
  <c r="N27" i="1" s="1"/>
  <c r="L17" i="1"/>
  <c r="M17" i="1" s="1"/>
  <c r="N17" i="1" s="1"/>
  <c r="L9" i="1"/>
  <c r="M9" i="1" s="1"/>
  <c r="N9" i="1" s="1"/>
  <c r="O50" i="1" s="1"/>
  <c r="O18" i="1" l="1"/>
  <c r="O55" i="1"/>
  <c r="O70" i="1"/>
  <c r="O39" i="1"/>
  <c r="O58" i="1"/>
  <c r="O57" i="1"/>
  <c r="O75" i="1"/>
  <c r="O51" i="1"/>
  <c r="O44" i="1"/>
  <c r="O63" i="1"/>
  <c r="O69" i="1"/>
  <c r="O19" i="1"/>
  <c r="O45" i="1"/>
  <c r="O52" i="1"/>
  <c r="O72" i="1"/>
  <c r="O65" i="1"/>
  <c r="O74" i="1"/>
  <c r="O38" i="1"/>
  <c r="O54" i="1"/>
  <c r="O59" i="1"/>
  <c r="O41" i="1"/>
  <c r="O60" i="1"/>
  <c r="O66" i="1"/>
  <c r="O68" i="1"/>
  <c r="O76" i="1"/>
  <c r="O40" i="1"/>
  <c r="O23" i="1"/>
  <c r="O35" i="1"/>
  <c r="O31" i="1"/>
  <c r="O20" i="1"/>
  <c r="O27" i="1"/>
  <c r="O12" i="1"/>
  <c r="O26" i="1"/>
  <c r="O8" i="1"/>
  <c r="O11" i="1"/>
  <c r="O6" i="1"/>
  <c r="O33" i="1"/>
  <c r="O16" i="1"/>
  <c r="O21" i="1"/>
  <c r="O14" i="1"/>
  <c r="O3" i="1"/>
  <c r="O34" i="1"/>
  <c r="O24" i="1"/>
  <c r="O25" i="1"/>
  <c r="O10" i="1"/>
  <c r="O22" i="1"/>
  <c r="O32" i="1"/>
  <c r="O7" i="1"/>
  <c r="O37" i="1"/>
  <c r="O9" i="1"/>
  <c r="O5" i="1"/>
  <c r="O4" i="1"/>
  <c r="O15" i="1"/>
  <c r="O28" i="1"/>
  <c r="O29" i="1"/>
  <c r="O17" i="1"/>
  <c r="O13" i="1"/>
  <c r="O30" i="1"/>
  <c r="O36" i="1"/>
  <c r="O2" i="1"/>
</calcChain>
</file>

<file path=xl/sharedStrings.xml><?xml version="1.0" encoding="utf-8"?>
<sst xmlns="http://schemas.openxmlformats.org/spreadsheetml/2006/main" count="342" uniqueCount="29">
  <si>
    <t>Exchange</t>
  </si>
  <si>
    <t>Symbol</t>
  </si>
  <si>
    <t>Side</t>
  </si>
  <si>
    <t>datetime</t>
  </si>
  <si>
    <t>amount_eur</t>
  </si>
  <si>
    <t>amount_coin</t>
  </si>
  <si>
    <t>Bitvavo</t>
  </si>
  <si>
    <t>BTCEUR</t>
  </si>
  <si>
    <t>buy</t>
  </si>
  <si>
    <t>Coin_Price</t>
  </si>
  <si>
    <t>sell</t>
  </si>
  <si>
    <t>Bison</t>
  </si>
  <si>
    <t>Bitpanda</t>
  </si>
  <si>
    <t>Coinbase</t>
  </si>
  <si>
    <t>BSDEX</t>
  </si>
  <si>
    <t>Kraken</t>
  </si>
  <si>
    <t>ETHEUR</t>
  </si>
  <si>
    <t>LINKEUR</t>
  </si>
  <si>
    <t>Fee_€</t>
  </si>
  <si>
    <t>Effective_Price</t>
  </si>
  <si>
    <t>Percentage</t>
  </si>
  <si>
    <t>Zeilenbeschriftungen</t>
  </si>
  <si>
    <t>Gesamtergebnis</t>
  </si>
  <si>
    <t>Laufender Coin-Bestand pro Exchange+Symbol</t>
  </si>
  <si>
    <t>Anzahl abgeschlossener Zyklen</t>
  </si>
  <si>
    <t>Zyklus-ID</t>
  </si>
  <si>
    <t>Eindeutiger Schlüssel (Exchange|Symbol|Zyklus)</t>
  </si>
  <si>
    <t>Prozentuale Rendite pro Zyklus (nutzt I = Effective_Price)</t>
  </si>
  <si>
    <t>Mittelwert von Prozentuale Rendite pro Zyklus (nutzt I = Effective_Price)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</si>
</sst>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#,##0.00\ &quot;€&quot;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22" fontId="0" fillId="0" borderId="0" xfId="0" applyNumberFormat="1"/>
    <xf numFmtId="10" fontId="0" fillId="0" borderId="0" xfId="1" applyNumberFormat="1" applyFont="1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</cellXfs>
  <cellStyles count="2">
    <cellStyle name="Prozent" xfId="1" builtinId="5"/>
    <cellStyle name="Standard" xfId="0" builtinId="0"/>
  </cellStyles>
  <dxfs count="2"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75.60882199074" createdVersion="8" refreshedVersion="8" minRefreshableVersion="3" recordCount="100" xr:uid="{F498B653-9AC9-DB46-8B6B-D2C8533E2EC4}">
  <cacheSource type="worksheet">
    <worksheetSource ref="A1:O101" sheet="Raw Data"/>
  </cacheSource>
  <cacheFields count="15">
    <cacheField name="Exchange" numFmtId="0">
      <sharedItems count="6">
        <s v="Bitvavo"/>
        <s v="Bison"/>
        <s v="Bitpanda"/>
        <s v="Coinbase"/>
        <s v="BSDEX"/>
        <s v="Kraken"/>
      </sharedItems>
    </cacheField>
    <cacheField name="Symbol" numFmtId="0">
      <sharedItems count="3">
        <s v="BTCEUR"/>
        <s v="ETHEUR"/>
        <s v="LINKEUR"/>
      </sharedItems>
    </cacheField>
    <cacheField name="Side" numFmtId="0">
      <sharedItems/>
    </cacheField>
    <cacheField name="datetime" numFmtId="22">
      <sharedItems containsSemiMixedTypes="0" containsNonDate="0" containsDate="1" containsString="0" minDate="2024-11-02T11:20:00" maxDate="2025-11-14T14:28:00"/>
    </cacheField>
    <cacheField name="amount_eur" numFmtId="165">
      <sharedItems containsSemiMixedTypes="0" containsString="0" containsNumber="1" minValue="91.99" maxValue="100.35"/>
    </cacheField>
    <cacheField name="amount_coin" numFmtId="0">
      <sharedItems containsSemiMixedTypes="0" containsString="0" containsNumber="1" minValue="1.0094100000000001E-3" maxValue="8.1498928280000005"/>
    </cacheField>
    <cacheField name="Coin_Price" numFmtId="165">
      <sharedItems containsSemiMixedTypes="0" containsString="0" containsNumber="1" minValue="12.223000000000001" maxValue="96863.12"/>
    </cacheField>
    <cacheField name="Fee_€" numFmtId="165">
      <sharedItems containsString="0" containsBlank="1" containsNumber="1" minValue="0.25" maxValue="2.99"/>
    </cacheField>
    <cacheField name="Effective_Price" numFmtId="165">
      <sharedItems containsSemiMixedTypes="0" containsString="0" containsNumber="1" minValue="12.191982561597779" maxValue="99067.772263005114"/>
    </cacheField>
    <cacheField name="Percentage" numFmtId="164">
      <sharedItems containsSemiMixedTypes="0" containsString="0" containsNumber="1" minValue="-3.1588417930684232E-2" maxValue="0.32169070815687539"/>
    </cacheField>
    <cacheField name="Laufender Coin-Bestand pro Exchange+Symbol" numFmtId="0">
      <sharedItems containsSemiMixedTypes="0" containsString="0" containsNumber="1" minValue="0" maxValue="8.1498928280000023"/>
    </cacheField>
    <cacheField name="Anzahl abgeschlossener Zyklen" numFmtId="0">
      <sharedItems containsSemiMixedTypes="0" containsString="0" containsNumber="1" containsInteger="1" minValue="0" maxValue="5"/>
    </cacheField>
    <cacheField name="Zyklus-ID" numFmtId="0">
      <sharedItems containsSemiMixedTypes="0" containsString="0" containsNumber="1" containsInteger="1" minValue="1" maxValue="5"/>
    </cacheField>
    <cacheField name="Eindeutiger Schlüssel (Exchange|Symbol|Zyklus)" numFmtId="0">
      <sharedItems/>
    </cacheField>
    <cacheField name="Prozentuale Rendite pro Zyklus (nutzt I = Effective_Price)" numFmtId="10">
      <sharedItems containsSemiMixedTypes="0" containsString="0" containsNumber="1" minValue="-8.0099999999999949E-2" maxValue="-4.0999999999998815E-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s v="buy"/>
    <d v="2025-10-31T14:24:00"/>
    <n v="100"/>
    <n v="1.04834E-3"/>
    <n v="95150"/>
    <n v="0.25"/>
    <n v="95388.900547532292"/>
    <n v="2.5107782189415229E-3"/>
    <n v="1.04834E-3"/>
    <n v="0"/>
    <n v="1"/>
    <s v="Bitvavo|BTCEUR|001"/>
    <n v="-4.7000000000001485E-3"/>
  </r>
  <r>
    <x v="0"/>
    <x v="0"/>
    <s v="sell"/>
    <d v="2025-10-31T14:28:00"/>
    <n v="99.53"/>
    <n v="1.04834E-3"/>
    <n v="95180"/>
    <n v="0.25"/>
    <n v="94940.572714958878"/>
    <n v="-2.5155209607178319E-3"/>
    <n v="0"/>
    <n v="1"/>
    <n v="1"/>
    <s v="Bitvavo|BTCEUR|001"/>
    <n v="-4.7000000000001485E-3"/>
  </r>
  <r>
    <x v="1"/>
    <x v="0"/>
    <s v="buy"/>
    <d v="2025-10-31T14:24:00"/>
    <n v="100"/>
    <n v="1.0376999999999999E-3"/>
    <n v="96366.59"/>
    <m/>
    <n v="96366.965404259434"/>
    <n v="3.8955851757727089E-6"/>
    <n v="1.0376999999999999E-3"/>
    <n v="0"/>
    <n v="1"/>
    <s v="Bison|BTCEUR|001"/>
    <n v="-2.4399999999999977E-2"/>
  </r>
  <r>
    <x v="1"/>
    <x v="0"/>
    <s v="sell"/>
    <d v="2025-10-31T14:27:00"/>
    <n v="97.56"/>
    <n v="1.0376999999999999E-3"/>
    <n v="94019.25"/>
    <m/>
    <n v="94015.611448395503"/>
    <n v="-3.8700070512098783E-5"/>
    <n v="0"/>
    <n v="1"/>
    <n v="1"/>
    <s v="Bison|BTCEUR|001"/>
    <n v="-2.4399999999999977E-2"/>
  </r>
  <r>
    <x v="2"/>
    <x v="0"/>
    <s v="buy"/>
    <d v="2025-10-31T14:24:00"/>
    <n v="100"/>
    <n v="1.0323800000000001E-3"/>
    <n v="96863.12"/>
    <n v="1"/>
    <n v="96863.557992212169"/>
    <n v="4.5217644462081097E-6"/>
    <n v="1.0323800000000001E-3"/>
    <n v="0"/>
    <n v="1"/>
    <s v="Bitpanda|BTCEUR|001"/>
    <n v="-4.3100000000000027E-2"/>
  </r>
  <r>
    <x v="2"/>
    <x v="0"/>
    <s v="sell"/>
    <d v="2025-10-31T14:28:00"/>
    <n v="95.69"/>
    <n v="1.0323800000000001E-3"/>
    <n v="93628.2"/>
    <n v="0.96"/>
    <n v="92688.73864274782"/>
    <n v="-1.0033957261297077E-2"/>
    <n v="0"/>
    <n v="1"/>
    <n v="1"/>
    <s v="Bitpanda|BTCEUR|001"/>
    <n v="-4.3100000000000027E-2"/>
  </r>
  <r>
    <x v="3"/>
    <x v="0"/>
    <s v="buy"/>
    <d v="2025-10-31T14:24:00"/>
    <n v="100"/>
    <n v="1.0094100000000001E-3"/>
    <n v="96105.65"/>
    <n v="2.99"/>
    <n v="99067.772263005114"/>
    <n v="3.0821520514195733E-2"/>
    <n v="1.0094100000000001E-3"/>
    <n v="0"/>
    <n v="1"/>
    <s v="Coinbase|BTCEUR|001"/>
    <n v="-7.8499999999999903E-2"/>
  </r>
  <r>
    <x v="3"/>
    <x v="0"/>
    <s v="sell"/>
    <d v="2025-10-31T14:28:00"/>
    <n v="92.15"/>
    <n v="1.0094100000000001E-3"/>
    <n v="94253.08"/>
    <n v="2.99"/>
    <n v="91290.952140359223"/>
    <n v="-3.1427385286940002E-2"/>
    <n v="0"/>
    <n v="1"/>
    <n v="1"/>
    <s v="Coinbase|BTCEUR|001"/>
    <n v="-7.8499999999999903E-2"/>
  </r>
  <r>
    <x v="4"/>
    <x v="0"/>
    <s v="buy"/>
    <d v="2025-10-31T14:24:00"/>
    <n v="100.35"/>
    <n v="1.05006E-3"/>
    <n v="95232.13"/>
    <n v="0.35"/>
    <n v="95565.967658990907"/>
    <n v="3.5055149873357561E-3"/>
    <n v="1.05006E-3"/>
    <n v="0"/>
    <n v="1"/>
    <s v="BSDEX|BTCEUR|001"/>
    <n v="-7.3741903338314652E-3"/>
  </r>
  <r>
    <x v="4"/>
    <x v="0"/>
    <s v="sell"/>
    <d v="2025-10-31T14:28:00"/>
    <n v="99.61"/>
    <n v="1.05006E-3"/>
    <n v="95194.19"/>
    <n v="0.35"/>
    <n v="94861.246024036722"/>
    <n v="-3.4975241237230614E-3"/>
    <n v="0"/>
    <n v="1"/>
    <n v="1"/>
    <s v="BSDEX|BTCEUR|001"/>
    <n v="-7.3741903338314652E-3"/>
  </r>
  <r>
    <x v="5"/>
    <x v="0"/>
    <s v="buy"/>
    <d v="2025-10-31T14:24:00"/>
    <n v="100"/>
    <n v="1.0224500000000001E-3"/>
    <n v="96836.28"/>
    <n v="0.99"/>
    <n v="97804.293608489403"/>
    <n v="9.9963940011884578E-3"/>
    <n v="1.0224500000000001E-3"/>
    <n v="0"/>
    <n v="1"/>
    <s v="Kraken|BTCEUR|001"/>
    <n v="-5.2600000000000091E-2"/>
  </r>
  <r>
    <x v="5"/>
    <x v="0"/>
    <s v="sell"/>
    <d v="2025-10-31T14:28:00"/>
    <n v="94.74"/>
    <n v="1.0224500000000001E-3"/>
    <n v="93586.26"/>
    <n v="0.95"/>
    <n v="92659.787764682857"/>
    <n v="-9.8996608617241133E-3"/>
    <n v="0"/>
    <n v="1"/>
    <n v="1"/>
    <s v="Kraken|BTCEUR|001"/>
    <n v="-5.2600000000000091E-2"/>
  </r>
  <r>
    <x v="3"/>
    <x v="1"/>
    <s v="buy"/>
    <d v="2025-11-02T11:17:00"/>
    <n v="100"/>
    <n v="2.8723160000000001E-2"/>
    <n v="3377.41"/>
    <n v="2.99"/>
    <n v="3481.5110872202081"/>
    <n v="3.0822756852205702E-2"/>
    <n v="2.8723160000000001E-2"/>
    <n v="0"/>
    <n v="1"/>
    <s v="Coinbase|ETHEUR|001"/>
    <n v="-8.0099999999999949E-2"/>
  </r>
  <r>
    <x v="3"/>
    <x v="1"/>
    <s v="sell"/>
    <d v="2024-11-02T11:20:00"/>
    <n v="91.99"/>
    <n v="2.8723160000000001E-2"/>
    <n v="3306.74"/>
    <n v="2.99"/>
    <n v="3202.6420491338695"/>
    <n v="-3.1480536983896634E-2"/>
    <n v="0"/>
    <n v="1"/>
    <n v="1"/>
    <s v="Coinbase|ETHEUR|001"/>
    <n v="-8.0099999999999949E-2"/>
  </r>
  <r>
    <x v="1"/>
    <x v="1"/>
    <s v="buy"/>
    <d v="2025-11-02T11:17:00"/>
    <n v="100"/>
    <n v="2.9540460000000001E-2"/>
    <n v="3385.16"/>
    <m/>
    <n v="3385.1876375655625"/>
    <n v="8.1643306557577233E-6"/>
    <n v="2.9540460000000001E-2"/>
    <n v="0"/>
    <n v="1"/>
    <s v="Bison|ETHEUR|001"/>
    <n v="-2.5600000000000067E-2"/>
  </r>
  <r>
    <x v="1"/>
    <x v="1"/>
    <s v="sell"/>
    <d v="2025-11-02T11:20:00"/>
    <n v="97.44"/>
    <n v="2.9540460000000001E-2"/>
    <n v="3298.82"/>
    <m/>
    <n v="3298.5268340438838"/>
    <n v="-8.8869946258451904E-5"/>
    <n v="0"/>
    <n v="1"/>
    <n v="1"/>
    <s v="Bison|ETHEUR|001"/>
    <n v="-2.5600000000000067E-2"/>
  </r>
  <r>
    <x v="2"/>
    <x v="1"/>
    <s v="buy"/>
    <d v="2025-11-02T11:17:00"/>
    <n v="100"/>
    <n v="2.910194E-2"/>
    <n v="3436.19"/>
    <n v="1.51"/>
    <n v="3436.1970370360191"/>
    <n v="2.0479181939148106E-6"/>
    <n v="2.910194E-2"/>
    <n v="0"/>
    <n v="1"/>
    <s v="Bitpanda|ETHEUR|001"/>
    <n v="-6.5200000000000036E-2"/>
  </r>
  <r>
    <x v="2"/>
    <x v="1"/>
    <s v="sell"/>
    <d v="2025-11-02T11:20:00"/>
    <n v="93.48"/>
    <n v="2.910194E-2"/>
    <n v="3260.35"/>
    <n v="1.4"/>
    <n v="3212.1569902212705"/>
    <n v="-1.4781544858291085E-2"/>
    <n v="0"/>
    <n v="1"/>
    <n v="1"/>
    <s v="Bitpanda|ETHEUR|001"/>
    <n v="-6.5200000000000036E-2"/>
  </r>
  <r>
    <x v="4"/>
    <x v="1"/>
    <s v="buy"/>
    <d v="2025-11-02T11:17:00"/>
    <n v="100.35"/>
    <n v="2.9908778E-2"/>
    <n v="3343.5"/>
    <n v="0.35"/>
    <n v="3355.2022753988808"/>
    <n v="3.5000075964950472E-3"/>
    <n v="2.9908778E-2"/>
    <n v="0"/>
    <n v="1"/>
    <s v="BSDEX|ETHEUR|001"/>
    <n v="-8.0717488789235903E-3"/>
  </r>
  <r>
    <x v="4"/>
    <x v="1"/>
    <s v="sell"/>
    <d v="2025-11-02T11:20:00"/>
    <n v="99.54"/>
    <n v="2.9908778E-2"/>
    <n v="3339.69"/>
    <n v="0.35"/>
    <n v="3328.1199251938679"/>
    <n v="-3.4644158009072834E-3"/>
    <n v="0"/>
    <n v="1"/>
    <n v="1"/>
    <s v="BSDEX|ETHEUR|001"/>
    <n v="-8.0717488789235903E-3"/>
  </r>
  <r>
    <x v="5"/>
    <x v="1"/>
    <s v="buy"/>
    <d v="2025-11-02T11:17:00"/>
    <n v="100"/>
    <n v="2.9112829999999999E-2"/>
    <n v="3400.9"/>
    <n v="0.99"/>
    <n v="3434.9116867030789"/>
    <n v="1.0000789997670845E-2"/>
    <n v="2.9112829999999999E-2"/>
    <n v="0"/>
    <n v="1"/>
    <s v="Kraken|ETHEUR|001"/>
    <n v="-5.3400000000000003E-2"/>
  </r>
  <r>
    <x v="5"/>
    <x v="1"/>
    <s v="sell"/>
    <d v="2025-11-02T11:20:00"/>
    <n v="94.66"/>
    <n v="2.9112829999999999E-2"/>
    <n v="3283.96"/>
    <n v="0.95"/>
    <n v="3251.4874026331345"/>
    <n v="-9.8882438783862714E-3"/>
    <n v="0"/>
    <n v="1"/>
    <n v="1"/>
    <s v="Kraken|ETHEUR|001"/>
    <n v="-5.3400000000000003E-2"/>
  </r>
  <r>
    <x v="0"/>
    <x v="1"/>
    <s v="buy"/>
    <d v="2025-11-02T11:17:00"/>
    <n v="100"/>
    <n v="2.9836680000000001E-2"/>
    <n v="3343"/>
    <n v="0.25"/>
    <n v="3351.5793312124538"/>
    <n v="2.5663569286431542E-3"/>
    <n v="2.9836680000000001E-2"/>
    <n v="0"/>
    <n v="1"/>
    <s v="Bitvavo|ETHEUR|001"/>
    <n v="-5.5999999999999384E-3"/>
  </r>
  <r>
    <x v="0"/>
    <x v="1"/>
    <s v="sell"/>
    <d v="2025-11-02T11:20:00"/>
    <n v="99.44"/>
    <n v="2.9836680000000001E-2"/>
    <n v="3341.4"/>
    <n v="0.25"/>
    <n v="3332.8104869576641"/>
    <n v="-2.5706329808869999E-3"/>
    <n v="0"/>
    <n v="1"/>
    <n v="1"/>
    <s v="Bitvavo|ETHEUR|001"/>
    <n v="-5.5999999999999384E-3"/>
  </r>
  <r>
    <x v="1"/>
    <x v="2"/>
    <s v="buy"/>
    <d v="2025-11-05T10:41:00"/>
    <n v="100"/>
    <n v="7.6680365100000003"/>
    <n v="13.04"/>
    <m/>
    <n v="13.041148130892246"/>
    <n v="8.8046847565026454E-5"/>
    <n v="7.6680365100000003"/>
    <n v="0"/>
    <n v="1"/>
    <s v="Bison|LINKEUR|001"/>
    <n v="-2.6300000000000101E-2"/>
  </r>
  <r>
    <x v="1"/>
    <x v="2"/>
    <s v="sell"/>
    <d v="2025-11-05T10:45:00"/>
    <n v="97.37"/>
    <n v="7.6680365100000003"/>
    <n v="12.7"/>
    <m/>
    <n v="12.698165935049779"/>
    <n v="-1.4441456300939848E-4"/>
    <n v="0"/>
    <n v="1"/>
    <n v="1"/>
    <s v="Bison|LINKEUR|001"/>
    <n v="-2.6300000000000101E-2"/>
  </r>
  <r>
    <x v="2"/>
    <x v="2"/>
    <s v="buy"/>
    <d v="2025-11-05T10:41:00"/>
    <n v="100"/>
    <n v="7.5035519500000003"/>
    <n v="13.327"/>
    <n v="1.52"/>
    <n v="13.327021744681863"/>
    <n v="1.6316261621796002E-6"/>
    <n v="7.5035519500000003"/>
    <n v="0"/>
    <n v="1"/>
    <s v="Bitpanda|LINKEUR|001"/>
    <n v="-7.680000000000009E-2"/>
  </r>
  <r>
    <x v="2"/>
    <x v="2"/>
    <s v="sell"/>
    <d v="2025-11-05T10:45:00"/>
    <n v="92.32"/>
    <n v="7.5035519500000003"/>
    <n v="12.487500000000001"/>
    <n v="1.38"/>
    <n v="12.303506474690295"/>
    <n v="-1.473421624101745E-2"/>
    <n v="0"/>
    <n v="1"/>
    <n v="1"/>
    <s v="Bitpanda|LINKEUR|001"/>
    <n v="-7.680000000000009E-2"/>
  </r>
  <r>
    <x v="3"/>
    <x v="2"/>
    <s v="buy"/>
    <d v="2025-11-05T10:41:00"/>
    <n v="100"/>
    <n v="7.4565139800000004"/>
    <n v="13.01"/>
    <n v="2.99"/>
    <n v="13.411092672557423"/>
    <n v="3.0829567452530515E-2"/>
    <n v="7.4565139800000004"/>
    <n v="0"/>
    <n v="1"/>
    <s v="Coinbase|LINKEUR|001"/>
    <n v="-7.9200000000000048E-2"/>
  </r>
  <r>
    <x v="3"/>
    <x v="2"/>
    <s v="sell"/>
    <d v="2025-11-05T10:50:00"/>
    <n v="92.08"/>
    <n v="7.4565139800000004"/>
    <n v="12.75"/>
    <n v="2.99"/>
    <n v="12.348934132890875"/>
    <n v="-3.1456146439931332E-2"/>
    <n v="0"/>
    <n v="1"/>
    <n v="1"/>
    <s v="Coinbase|LINKEUR|001"/>
    <n v="-7.9200000000000048E-2"/>
  </r>
  <r>
    <x v="4"/>
    <x v="2"/>
    <s v="buy"/>
    <d v="2025-11-05T10:41:00"/>
    <n v="100.35"/>
    <n v="7.7535007050000004"/>
    <n v="12.9"/>
    <n v="0.35"/>
    <n v="12.942540900949075"/>
    <n v="3.2977442596182627E-3"/>
    <n v="7.7535007050000004"/>
    <n v="0"/>
    <n v="1"/>
    <s v="BSDEX|LINKEUR|001"/>
    <n v="-1.1659192825111964E-2"/>
  </r>
  <r>
    <x v="4"/>
    <x v="2"/>
    <s v="sell"/>
    <d v="2025-11-05T10:45:00"/>
    <n v="99.18"/>
    <n v="7.7535007050000004"/>
    <n v="12.84"/>
    <n v="0.35"/>
    <n v="12.791641320938011"/>
    <n v="-3.7662522633947759E-3"/>
    <n v="0"/>
    <n v="1"/>
    <n v="1"/>
    <s v="BSDEX|LINKEUR|001"/>
    <n v="-1.1659192825111964E-2"/>
  </r>
  <r>
    <x v="5"/>
    <x v="2"/>
    <s v="buy"/>
    <d v="2025-11-05T10:41:00"/>
    <n v="100"/>
    <n v="7.5149299999999997"/>
    <n v="13.18"/>
    <n v="0.99"/>
    <n v="13.30684384285682"/>
    <n v="9.6239637979378401E-3"/>
    <n v="7.5149299999999997"/>
    <n v="0"/>
    <n v="1"/>
    <s v="Kraken|LINKEUR|001"/>
    <n v="-6.5500000000000003E-2"/>
  </r>
  <r>
    <x v="5"/>
    <x v="2"/>
    <s v="sell"/>
    <d v="2025-11-05T10:45:00"/>
    <n v="93.45"/>
    <n v="7.5149299999999997"/>
    <n v="12.56"/>
    <n v="0.93"/>
    <n v="12.435245571149698"/>
    <n v="-9.9326774562342734E-3"/>
    <n v="0"/>
    <n v="1"/>
    <n v="1"/>
    <s v="Kraken|LINKEUR|001"/>
    <n v="-6.5500000000000003E-2"/>
  </r>
  <r>
    <x v="0"/>
    <x v="2"/>
    <s v="buy"/>
    <d v="2025-11-05T10:41:00"/>
    <n v="100"/>
    <n v="7.7445652100000002"/>
    <n v="12.88"/>
    <n v="0.25"/>
    <n v="12.912280714077685"/>
    <n v="2.5062666209381135E-3"/>
    <n v="7.7445652100000002"/>
    <n v="0"/>
    <n v="1"/>
    <s v="Bitvavo|LINKEUR|001"/>
    <n v="-6.2999999999999723E-3"/>
  </r>
  <r>
    <x v="0"/>
    <x v="2"/>
    <s v="sell"/>
    <d v="2025-11-05T10:45:00"/>
    <n v="99.37"/>
    <n v="7.7445652100000002"/>
    <n v="12.864000000000001"/>
    <n v="0.26"/>
    <n v="12.830933345578996"/>
    <n v="-2.5704799767571895E-3"/>
    <n v="0"/>
    <n v="1"/>
    <n v="1"/>
    <s v="Bitvavo|LINKEUR|001"/>
    <n v="-6.2999999999999723E-3"/>
  </r>
  <r>
    <x v="1"/>
    <x v="0"/>
    <s v="buy"/>
    <d v="2025-11-06T15:04:00"/>
    <n v="100"/>
    <n v="1.1005100000000001E-3"/>
    <n v="90866.51"/>
    <m/>
    <n v="90866.961681402259"/>
    <n v="4.9708237090939633E-6"/>
    <n v="1.1005099999999999E-3"/>
    <n v="1"/>
    <n v="2"/>
    <s v="Bison|BTCEUR|002"/>
    <n v="-3.0200000000000005E-2"/>
  </r>
  <r>
    <x v="1"/>
    <x v="0"/>
    <s v="sell"/>
    <d v="2025-11-06T15:08:00"/>
    <n v="96.98"/>
    <n v="1.1005100000000001E-3"/>
    <n v="88124.18"/>
    <m/>
    <n v="88122.779438623911"/>
    <n v="-1.5893042931924839E-5"/>
    <n v="0"/>
    <n v="2"/>
    <n v="2"/>
    <s v="Bison|BTCEUR|002"/>
    <n v="-3.0200000000000005E-2"/>
  </r>
  <r>
    <x v="2"/>
    <x v="0"/>
    <s v="buy"/>
    <d v="2025-11-06T15:04:00"/>
    <n v="100"/>
    <n v="1.09483E-3"/>
    <n v="91337.82"/>
    <n v="1"/>
    <n v="91338.38130120658"/>
    <n v="6.1453317647952588E-6"/>
    <n v="1.09483E-3"/>
    <n v="1"/>
    <n v="2"/>
    <s v="Bitpanda|BTCEUR|002"/>
    <n v="-4.8700000000000077E-2"/>
  </r>
  <r>
    <x v="2"/>
    <x v="0"/>
    <s v="sell"/>
    <d v="2025-11-06T15:08:00"/>
    <n v="95.13"/>
    <n v="1.09483E-3"/>
    <n v="87763.86"/>
    <n v="0.95"/>
    <n v="86890.20213183781"/>
    <n v="-9.9546426987394687E-3"/>
    <n v="0"/>
    <n v="2"/>
    <n v="2"/>
    <s v="Bitpanda|BTCEUR|002"/>
    <n v="-4.8700000000000077E-2"/>
  </r>
  <r>
    <x v="3"/>
    <x v="0"/>
    <s v="buy"/>
    <d v="2025-11-06T15:04:00"/>
    <n v="100"/>
    <n v="1.07036E-3"/>
    <n v="90633.06"/>
    <n v="2.99"/>
    <n v="93426.51070667812"/>
    <n v="3.0821542455679252E-2"/>
    <n v="1.0703599999999998E-3"/>
    <n v="1"/>
    <n v="2"/>
    <s v="Coinbase|BTCEUR|002"/>
    <n v="-5.4599999999999871E-2"/>
  </r>
  <r>
    <x v="3"/>
    <x v="0"/>
    <s v="sell"/>
    <d v="2025-11-06T15:08:00"/>
    <n v="94.54"/>
    <n v="1.07036E-3"/>
    <n v="88325.42"/>
    <n v="2.99"/>
    <n v="88325.423222093508"/>
    <n v="3.6479798293242993E-8"/>
    <n v="0"/>
    <n v="2"/>
    <n v="2"/>
    <s v="Coinbase|BTCEUR|002"/>
    <n v="-5.4599999999999871E-2"/>
  </r>
  <r>
    <x v="4"/>
    <x v="0"/>
    <s v="buy"/>
    <d v="2025-11-06T15:04:00"/>
    <n v="100.35"/>
    <n v="1.11344E-3"/>
    <n v="89811.06"/>
    <n v="0.35"/>
    <n v="90126.095703405648"/>
    <n v="3.5077606633933112E-3"/>
    <n v="1.11344E-3"/>
    <n v="1"/>
    <n v="2"/>
    <s v="BSDEX|BTCEUR|002"/>
    <n v="-1.3851519681115865E-2"/>
  </r>
  <r>
    <x v="4"/>
    <x v="0"/>
    <s v="sell"/>
    <d v="2025-11-06T15:08:00"/>
    <n v="98.960000000000008"/>
    <n v="1.11344E-3"/>
    <n v="89193.19"/>
    <n v="0.35"/>
    <n v="88877.712314987788"/>
    <n v="-3.5370153821409067E-3"/>
    <n v="0"/>
    <n v="2"/>
    <n v="2"/>
    <s v="BSDEX|BTCEUR|002"/>
    <n v="-1.3851519681115865E-2"/>
  </r>
  <r>
    <x v="5"/>
    <x v="0"/>
    <s v="buy"/>
    <d v="2025-11-06T15:04:00"/>
    <n v="100"/>
    <n v="1.0849E-3"/>
    <n v="91261.84"/>
    <n v="0.99"/>
    <n v="92174.393953359759"/>
    <n v="9.9992938270778708E-3"/>
    <n v="1.0849E-3"/>
    <n v="1"/>
    <n v="2"/>
    <s v="Kraken|BTCEUR|002"/>
    <n v="-5.799999999999994E-2"/>
  </r>
  <r>
    <x v="5"/>
    <x v="0"/>
    <s v="sell"/>
    <d v="2025-11-06T15:08:00"/>
    <n v="94.2"/>
    <n v="1.0849E-3"/>
    <n v="87694.84"/>
    <n v="0.94"/>
    <n v="86828.279104064903"/>
    <n v="-9.8815494267974202E-3"/>
    <n v="0"/>
    <n v="2"/>
    <n v="2"/>
    <s v="Kraken|BTCEUR|002"/>
    <n v="-5.799999999999994E-2"/>
  </r>
  <r>
    <x v="0"/>
    <x v="0"/>
    <s v="buy"/>
    <d v="2025-11-06T15:04:00"/>
    <n v="100"/>
    <n v="1.1124900000000001E-3"/>
    <n v="89663"/>
    <n v="0.25"/>
    <n v="89888.448435491548"/>
    <n v="2.514397638842647E-3"/>
    <n v="1.1124899999999998E-3"/>
    <n v="1"/>
    <n v="2"/>
    <s v="Bitvavo|BTCEUR|002"/>
    <n v="-1.1199999999999877E-2"/>
  </r>
  <r>
    <x v="0"/>
    <x v="0"/>
    <s v="sell"/>
    <d v="2025-11-06T15:08:00"/>
    <n v="98.88"/>
    <n v="1.1124900000000001E-3"/>
    <n v="89111"/>
    <n v="0.26"/>
    <n v="88881.697813014049"/>
    <n v="-2.5732197706899163E-3"/>
    <n v="0"/>
    <n v="2"/>
    <n v="2"/>
    <s v="Bitvavo|BTCEUR|002"/>
    <n v="-1.1199999999999877E-2"/>
  </r>
  <r>
    <x v="1"/>
    <x v="1"/>
    <s v="buy"/>
    <d v="2025-11-07T10:47:00"/>
    <n v="100"/>
    <n v="3.4592280000000003E-2"/>
    <n v="2890.82"/>
    <m/>
    <n v="2890.8184138194993"/>
    <n v="-5.4869569909854476E-7"/>
    <n v="3.4592280000000003E-2"/>
    <n v="1"/>
    <n v="2"/>
    <s v="Bison|ETHEUR|002"/>
    <n v="-2.4399999999999977E-2"/>
  </r>
  <r>
    <x v="1"/>
    <x v="1"/>
    <s v="sell"/>
    <d v="2025-11-07T10:50:00"/>
    <n v="97.56"/>
    <n v="3.4592280000000003E-2"/>
    <n v="2820.3"/>
    <m/>
    <n v="2820.2824445223036"/>
    <n v="-6.224684500399924E-6"/>
    <n v="0"/>
    <n v="2"/>
    <n v="2"/>
    <s v="Bison|ETHEUR|002"/>
    <n v="-2.4399999999999977E-2"/>
  </r>
  <r>
    <x v="2"/>
    <x v="1"/>
    <s v="buy"/>
    <d v="2025-11-07T10:47:00"/>
    <n v="100"/>
    <n v="3.4053470000000002E-2"/>
    <n v="2936.55"/>
    <n v="1.51"/>
    <n v="2936.5583008133972"/>
    <n v="2.826722990345587E-6"/>
    <n v="3.4053469999999995E-2"/>
    <n v="1"/>
    <n v="2"/>
    <s v="Bitpanda|ETHEUR|002"/>
    <n v="-6.469999999999998E-2"/>
  </r>
  <r>
    <x v="2"/>
    <x v="1"/>
    <s v="sell"/>
    <d v="2025-11-07T10:50:00"/>
    <n v="93.53"/>
    <n v="3.4053470000000002E-2"/>
    <n v="2788.06"/>
    <n v="1.41"/>
    <n v="2746.5629787507705"/>
    <n v="-1.4883833651079703E-2"/>
    <n v="0"/>
    <n v="2"/>
    <n v="2"/>
    <s v="Bitpanda|ETHEUR|002"/>
    <n v="-6.469999999999998E-2"/>
  </r>
  <r>
    <x v="3"/>
    <x v="1"/>
    <s v="buy"/>
    <d v="2025-11-07T10:47:00"/>
    <n v="100"/>
    <n v="3.3628570000000003E-2"/>
    <n v="2884.75"/>
    <n v="2.99"/>
    <n v="2973.6619784903132"/>
    <n v="3.0821380878867544E-2"/>
    <n v="3.362857000000001E-2"/>
    <n v="1"/>
    <n v="2"/>
    <s v="Coinbase|ETHEUR|002"/>
    <n v="-7.8500000000000014E-2"/>
  </r>
  <r>
    <x v="3"/>
    <x v="1"/>
    <s v="sell"/>
    <d v="2025-11-07T10:50:00"/>
    <n v="92.15"/>
    <n v="3.3628570000000003E-2"/>
    <n v="2829.14"/>
    <n v="2.99"/>
    <n v="2740.2295131788237"/>
    <n v="-3.1426683310538217E-2"/>
    <n v="0"/>
    <n v="2"/>
    <n v="2"/>
    <s v="Coinbase|ETHEUR|002"/>
    <n v="-7.8500000000000014E-2"/>
  </r>
  <r>
    <x v="4"/>
    <x v="1"/>
    <s v="buy"/>
    <d v="2025-11-07T10:47:00"/>
    <n v="100.35"/>
    <n v="3.5019155000000003E-2"/>
    <n v="2855.58"/>
    <n v="0.35"/>
    <n v="2865.5745691179582"/>
    <n v="3.5000136987786146E-3"/>
    <n v="3.501915500000001E-2"/>
    <n v="1"/>
    <n v="2"/>
    <s v="BSDEX|ETHEUR|002"/>
    <n v="-6.5769805680118143E-3"/>
  </r>
  <r>
    <x v="4"/>
    <x v="1"/>
    <s v="sell"/>
    <d v="2025-11-07T10:50:00"/>
    <n v="99.690000000000012"/>
    <n v="3.5019155000000003E-2"/>
    <n v="2856.71"/>
    <n v="0.35"/>
    <n v="2846.7277408606806"/>
    <n v="-3.4943200882552317E-3"/>
    <n v="0"/>
    <n v="2"/>
    <n v="2"/>
    <s v="BSDEX|ETHEUR|002"/>
    <n v="-6.5769805680118143E-3"/>
  </r>
  <r>
    <x v="5"/>
    <x v="1"/>
    <s v="buy"/>
    <d v="2025-11-07T10:47:00"/>
    <n v="100"/>
    <n v="3.3984180000000003E-2"/>
    <n v="2913.41"/>
    <n v="0.99"/>
    <n v="2942.5456197560156"/>
    <n v="1.0000521641655657E-2"/>
    <n v="3.398418000000001E-2"/>
    <n v="1"/>
    <n v="2"/>
    <s v="Kraken|ETHEUR|002"/>
    <n v="-5.7300000000000129E-2"/>
  </r>
  <r>
    <x v="5"/>
    <x v="1"/>
    <s v="sell"/>
    <d v="2025-11-07T10:50:00"/>
    <n v="94.27"/>
    <n v="3.3984180000000003E-2"/>
    <n v="2801.68"/>
    <n v="0.94"/>
    <n v="2773.9377557439957"/>
    <n v="-9.9020031752391491E-3"/>
    <n v="0"/>
    <n v="2"/>
    <n v="2"/>
    <s v="Kraken|ETHEUR|002"/>
    <n v="-5.7300000000000129E-2"/>
  </r>
  <r>
    <x v="0"/>
    <x v="1"/>
    <s v="buy"/>
    <d v="2025-11-07T10:47:00"/>
    <n v="100"/>
    <n v="3.4922920000000003E-2"/>
    <n v="2856.3"/>
    <n v="0.25"/>
    <n v="2863.4489899470032"/>
    <n v="2.5028848324766262E-3"/>
    <n v="3.4922919999999996E-2"/>
    <n v="1"/>
    <n v="2"/>
    <s v="Bitvavo|ETHEUR|002"/>
    <n v="-4.0999999999998815E-3"/>
  </r>
  <r>
    <x v="0"/>
    <x v="1"/>
    <s v="sell"/>
    <d v="2025-11-07T10:50:00"/>
    <n v="99.59"/>
    <n v="3.4922920000000003E-2"/>
    <n v="2859"/>
    <n v="0.25"/>
    <n v="2851.7088490882206"/>
    <n v="-2.5502451597689824E-3"/>
    <n v="0"/>
    <n v="2"/>
    <n v="2"/>
    <s v="Bitvavo|ETHEUR|002"/>
    <n v="-4.0999999999998815E-3"/>
  </r>
  <r>
    <x v="1"/>
    <x v="2"/>
    <s v="buy"/>
    <d v="2025-11-08T20:31:00"/>
    <n v="100"/>
    <n v="7.4878173099999996"/>
    <n v="13.36"/>
    <m/>
    <n v="13.3550266866754"/>
    <n v="-3.7225399136220361E-4"/>
    <n v="7.4878173100000005"/>
    <n v="1"/>
    <n v="2"/>
    <s v="Bison|LINKEUR|002"/>
    <n v="-2.4000000000000021E-2"/>
  </r>
  <r>
    <x v="1"/>
    <x v="2"/>
    <s v="sell"/>
    <d v="2025-11-08T20:34:00"/>
    <n v="97.6"/>
    <n v="7.4878173099999996"/>
    <n v="13.04"/>
    <m/>
    <n v="13.03450604619519"/>
    <n v="-4.2131547582890949E-4"/>
    <n v="0"/>
    <n v="2"/>
    <n v="2"/>
    <s v="Bison|LINKEUR|002"/>
    <n v="-2.4000000000000021E-2"/>
  </r>
  <r>
    <x v="2"/>
    <x v="2"/>
    <s v="buy"/>
    <d v="2025-11-08T20:31:00"/>
    <n v="100"/>
    <n v="7.3254440699999996"/>
    <n v="13.651"/>
    <n v="1.52"/>
    <n v="13.651049553368578"/>
    <n v="3.6300174770520499E-6"/>
    <n v="7.3254440699999996"/>
    <n v="1"/>
    <n v="2"/>
    <s v="Bitpanda|LINKEUR|002"/>
    <n v="-7.5100000000000056E-2"/>
  </r>
  <r>
    <x v="2"/>
    <x v="2"/>
    <s v="sell"/>
    <d v="2025-11-08T20:34:00"/>
    <n v="92.49"/>
    <n v="7.3254440699999996"/>
    <n v="12.8154"/>
    <n v="1.38"/>
    <n v="12.625855731910598"/>
    <n v="-1.4790351303073046E-2"/>
    <n v="0"/>
    <n v="2"/>
    <n v="2"/>
    <s v="Bitpanda|LINKEUR|002"/>
    <n v="-7.5100000000000056E-2"/>
  </r>
  <r>
    <x v="3"/>
    <x v="2"/>
    <s v="buy"/>
    <d v="2025-11-08T20:31:00"/>
    <n v="100"/>
    <n v="7.2812661099999998"/>
    <n v="13.32"/>
    <n v="2.99"/>
    <n v="13.7338751927582"/>
    <n v="3.1071711168032978E-2"/>
    <n v="7.2812661100000007"/>
    <n v="1"/>
    <n v="2"/>
    <s v="Coinbase|LINKEUR|002"/>
    <n v="-7.8399999999999914E-2"/>
  </r>
  <r>
    <x v="3"/>
    <x v="2"/>
    <s v="sell"/>
    <d v="2025-11-08T20:34:00"/>
    <n v="92.16"/>
    <n v="7.2812661099999998"/>
    <n v="13.07"/>
    <n v="2.99"/>
    <n v="12.657139377645958"/>
    <n v="-3.1588417930684232E-2"/>
    <n v="0"/>
    <n v="2"/>
    <n v="2"/>
    <s v="Coinbase|LINKEUR|002"/>
    <n v="-7.8399999999999914E-2"/>
  </r>
  <r>
    <x v="4"/>
    <x v="2"/>
    <s v="buy"/>
    <d v="2025-11-08T20:31:00"/>
    <n v="100.35"/>
    <n v="7.5623515880000003"/>
    <n v="13.22"/>
    <n v="0.35"/>
    <n v="13.269681901491618"/>
    <n v="3.7580863458106517E-3"/>
    <n v="7.5623515880000003"/>
    <n v="1"/>
    <n v="2"/>
    <s v="BSDEX|LINKEUR|002"/>
    <n v="-1.0861983059292313E-2"/>
  </r>
  <r>
    <x v="4"/>
    <x v="2"/>
    <s v="sell"/>
    <d v="2025-11-08T20:34:00"/>
    <n v="99.26"/>
    <n v="7.5623515880000003"/>
    <n v="13.17"/>
    <n v="0.35"/>
    <n v="13.125546841475417"/>
    <n v="-3.3753347399075873E-3"/>
    <n v="0"/>
    <n v="2"/>
    <n v="2"/>
    <s v="BSDEX|LINKEUR|002"/>
    <n v="-1.0861983059292313E-2"/>
  </r>
  <r>
    <x v="5"/>
    <x v="2"/>
    <s v="buy"/>
    <d v="2025-11-08T20:31:00"/>
    <n v="100"/>
    <n v="7.3374600000000001"/>
    <n v="13.49"/>
    <n v="0.99"/>
    <n v="13.628694398334028"/>
    <n v="1.0281274895035386E-2"/>
    <n v="7.3374600000000001"/>
    <n v="1"/>
    <n v="2"/>
    <s v="Kraken|LINKEUR|002"/>
    <n v="-6.1800000000000077E-2"/>
  </r>
  <r>
    <x v="5"/>
    <x v="2"/>
    <s v="sell"/>
    <d v="2025-11-08T20:34:00"/>
    <n v="93.82"/>
    <n v="7.3374600000000001"/>
    <n v="12.91"/>
    <n v="0.94"/>
    <n v="12.786441084516984"/>
    <n v="-9.5707912845094389E-3"/>
    <n v="0"/>
    <n v="2"/>
    <n v="2"/>
    <s v="Kraken|LINKEUR|002"/>
    <n v="-6.1800000000000077E-2"/>
  </r>
  <r>
    <x v="0"/>
    <x v="2"/>
    <s v="buy"/>
    <d v="2025-11-08T20:31:00"/>
    <n v="100"/>
    <n v="7.5482406299999996"/>
    <n v="13.215"/>
    <n v="0.25"/>
    <n v="13.248120310653107"/>
    <n v="2.506266413401903E-3"/>
    <n v="7.5482406299999996"/>
    <n v="1"/>
    <n v="2"/>
    <s v="Bitvavo|LINKEUR|002"/>
    <n v="-5.4999999999999494E-3"/>
  </r>
  <r>
    <x v="0"/>
    <x v="2"/>
    <s v="sell"/>
    <d v="2025-11-08T20:34:00"/>
    <n v="99.45"/>
    <n v="7.5482406299999996"/>
    <n v="13.209"/>
    <n v="0.25"/>
    <n v="13.175255648944516"/>
    <n v="-2.5546484257312763E-3"/>
    <n v="0"/>
    <n v="2"/>
    <n v="2"/>
    <s v="Bitvavo|LINKEUR|002"/>
    <n v="-5.4999999999999494E-3"/>
  </r>
  <r>
    <x v="4"/>
    <x v="0"/>
    <s v="buy"/>
    <d v="2025-11-09T14:59:00"/>
    <n v="100.35"/>
    <n v="1.1244E-3"/>
    <n v="88936.12"/>
    <n v="0.35"/>
    <n v="89247.598719316957"/>
    <n v="3.502274658675919E-3"/>
    <n v="1.1243999999999998E-3"/>
    <n v="2"/>
    <n v="3"/>
    <s v="BSDEX|BTCEUR|003"/>
    <n v="-7.2745391131039394E-3"/>
  </r>
  <r>
    <x v="4"/>
    <x v="0"/>
    <s v="sell"/>
    <d v="2025-11-09T14:59:00"/>
    <n v="99.62"/>
    <n v="1.1244E-3"/>
    <n v="88912.5"/>
    <n v="0.35"/>
    <n v="88598.363571682683"/>
    <n v="-3.5330963398545467E-3"/>
    <n v="0"/>
    <n v="3"/>
    <n v="3"/>
    <s v="BSDEX|BTCEUR|003"/>
    <n v="-7.2745391131039394E-3"/>
  </r>
  <r>
    <x v="0"/>
    <x v="0"/>
    <s v="buy"/>
    <d v="2025-11-09T14:59:00"/>
    <n v="100"/>
    <n v="1.12188E-3"/>
    <n v="88913"/>
    <n v="0.25"/>
    <n v="89136.092986772201"/>
    <n v="2.5091155036069956E-3"/>
    <n v="1.12188E-3"/>
    <n v="2"/>
    <n v="3"/>
    <s v="Bitvavo|BTCEUR|003"/>
    <n v="-5.0000000000000044E-3"/>
  </r>
  <r>
    <x v="0"/>
    <x v="0"/>
    <s v="sell"/>
    <d v="2025-11-09T14:59:00"/>
    <n v="99.5"/>
    <n v="1.12188E-3"/>
    <n v="88918"/>
    <n v="0.26"/>
    <n v="88690.412521838341"/>
    <n v="-2.5595208862284613E-3"/>
    <n v="0"/>
    <n v="3"/>
    <n v="3"/>
    <s v="Bitvavo|BTCEUR|003"/>
    <n v="-5.0000000000000044E-3"/>
  </r>
  <r>
    <x v="4"/>
    <x v="1"/>
    <s v="buy"/>
    <d v="2025-11-09T21:22:00"/>
    <n v="100.35"/>
    <n v="3.2314666999999998E-2"/>
    <n v="3094.57"/>
    <n v="0.35"/>
    <n v="3105.4010242469772"/>
    <n v="3.500009451063324E-3"/>
    <n v="3.2314667000000005E-2"/>
    <n v="2"/>
    <n v="3"/>
    <s v="BSDEX|ETHEUR|003"/>
    <n v="-7.7727952167412351E-3"/>
  </r>
  <r>
    <x v="4"/>
    <x v="1"/>
    <s v="sell"/>
    <d v="2025-11-09T21:22:00"/>
    <n v="99.570000000000007"/>
    <n v="3.2314666999999998E-2"/>
    <n v="3092.01"/>
    <n v="0.35"/>
    <n v="3081.263378019647"/>
    <n v="-3.4756103571311758E-3"/>
    <n v="0"/>
    <n v="3"/>
    <n v="3"/>
    <s v="BSDEX|ETHEUR|003"/>
    <n v="-7.7727952167412351E-3"/>
  </r>
  <r>
    <x v="0"/>
    <x v="1"/>
    <s v="buy"/>
    <d v="2025-11-09T21:22:00"/>
    <n v="100"/>
    <n v="3.2243880000000003E-2"/>
    <n v="3093.6"/>
    <n v="0.25"/>
    <n v="3101.3637316600853"/>
    <n v="2.5096106995361467E-3"/>
    <n v="3.2243880000000003E-2"/>
    <n v="2"/>
    <n v="3"/>
    <s v="Bitvavo|ETHEUR|003"/>
    <n v="-5.4999999999999494E-3"/>
  </r>
  <r>
    <x v="0"/>
    <x v="1"/>
    <s v="sell"/>
    <d v="2025-11-09T21:22:00"/>
    <n v="99.45"/>
    <n v="3.2243880000000003E-2"/>
    <n v="3092.1"/>
    <n v="0.25"/>
    <n v="3084.3062311359549"/>
    <n v="-2.5205423058908272E-3"/>
    <n v="0"/>
    <n v="3"/>
    <n v="3"/>
    <s v="Bitvavo|ETHEUR|003"/>
    <n v="-5.4999999999999494E-3"/>
  </r>
  <r>
    <x v="4"/>
    <x v="2"/>
    <s v="buy"/>
    <d v="2025-11-10T21:02:00"/>
    <n v="100.35"/>
    <n v="7.1422449500000003"/>
    <n v="14"/>
    <n v="0.35"/>
    <n v="14.050204200851441"/>
    <n v="3.5860143465316074E-3"/>
    <n v="7.1422449500000003"/>
    <n v="2"/>
    <n v="3"/>
    <s v="BSDEX|LINKEUR|003"/>
    <n v="-1.0861983059292424E-2"/>
  </r>
  <r>
    <x v="4"/>
    <x v="2"/>
    <s v="sell"/>
    <d v="2025-11-10T21:02:00"/>
    <n v="99.26"/>
    <n v="7.1422449500000003"/>
    <n v="13.95"/>
    <n v="0.35"/>
    <n v="13.897591120842193"/>
    <n v="-3.7569089002011946E-3"/>
    <n v="0"/>
    <n v="3"/>
    <n v="3"/>
    <s v="BSDEX|LINKEUR|003"/>
    <n v="-1.0861983059292424E-2"/>
  </r>
  <r>
    <x v="0"/>
    <x v="2"/>
    <s v="buy"/>
    <d v="2025-11-10T21:02:00"/>
    <n v="100"/>
    <n v="7.1367246099999999"/>
    <n v="13.977"/>
    <n v="0.25"/>
    <n v="14.012030092891591"/>
    <n v="2.5062669307855945E-3"/>
    <n v="7.1367246100000017"/>
    <n v="2"/>
    <n v="3"/>
    <s v="Bitvavo|LINKEUR|003"/>
    <n v="-4.8999999999999044E-3"/>
  </r>
  <r>
    <x v="0"/>
    <x v="2"/>
    <s v="sell"/>
    <d v="2025-11-10T21:02:00"/>
    <n v="99.51"/>
    <n v="7.1367246099999999"/>
    <n v="13.978999999999999"/>
    <n v="0.25"/>
    <n v="13.943371145436423"/>
    <n v="-2.5487412950552235E-3"/>
    <n v="0"/>
    <n v="3"/>
    <n v="3"/>
    <s v="Bitvavo|LINKEUR|003"/>
    <n v="-4.8999999999999044E-3"/>
  </r>
  <r>
    <x v="4"/>
    <x v="0"/>
    <s v="buy"/>
    <d v="2025-11-10T23:16:00"/>
    <n v="100.35"/>
    <n v="1.09582E-3"/>
    <n v="91225.1"/>
    <n v="0.35"/>
    <n v="91575.258710372145"/>
    <n v="3.8384031409353092E-3"/>
    <n v="1.09582E-3"/>
    <n v="3"/>
    <n v="4"/>
    <s v="BSDEX|BTCEUR|004"/>
    <n v="-7.3741903338315762E-3"/>
  </r>
  <r>
    <x v="4"/>
    <x v="0"/>
    <s v="sell"/>
    <d v="2025-11-10T23:16:00"/>
    <n v="99.61"/>
    <n v="1.09582E-3"/>
    <n v="91215"/>
    <n v="0.35"/>
    <n v="90899.965322771997"/>
    <n v="-3.4537595486269224E-3"/>
    <n v="0"/>
    <n v="4"/>
    <n v="4"/>
    <s v="BSDEX|BTCEUR|004"/>
    <n v="-7.3741903338315762E-3"/>
  </r>
  <r>
    <x v="0"/>
    <x v="0"/>
    <s v="buy"/>
    <d v="2025-11-10T23:16:00"/>
    <n v="100"/>
    <n v="1.09337E-3"/>
    <n v="91231"/>
    <n v="0.25"/>
    <n v="91460.347366399306"/>
    <n v="2.5139192423551115E-3"/>
    <n v="1.0933700000000002E-3"/>
    <n v="3"/>
    <n v="4"/>
    <s v="Bitvavo|BTCEUR|004"/>
    <n v="-4.9000000000000155E-3"/>
  </r>
  <r>
    <x v="0"/>
    <x v="0"/>
    <s v="sell"/>
    <d v="2025-11-10T23:17:00"/>
    <n v="99.51"/>
    <n v="1.09337E-3"/>
    <n v="91242"/>
    <n v="0.25"/>
    <n v="91012.191664303944"/>
    <n v="-2.5186683292349743E-3"/>
    <n v="0"/>
    <n v="4"/>
    <n v="4"/>
    <s v="Bitvavo|BTCEUR|004"/>
    <n v="-4.9000000000000155E-3"/>
  </r>
  <r>
    <x v="4"/>
    <x v="1"/>
    <s v="buy"/>
    <d v="2025-11-11T10:00:00"/>
    <n v="100.35"/>
    <n v="3.2421006000000002E-2"/>
    <n v="3084.42"/>
    <n v="0.35"/>
    <n v="3095.2154908456569"/>
    <n v="3.5000067583716987E-3"/>
    <n v="3.2421006000000002E-2"/>
    <n v="3"/>
    <n v="4"/>
    <s v="BSDEX|ETHEUR|004"/>
    <n v="-7.7727952167412351E-3"/>
  </r>
  <r>
    <x v="4"/>
    <x v="1"/>
    <s v="sell"/>
    <d v="2025-11-11T10:00:00"/>
    <n v="99.570000000000007"/>
    <n v="3.2421006000000002E-2"/>
    <n v="3082.08"/>
    <n v="0.35"/>
    <n v="3071.1570146836284"/>
    <n v="-3.5440304328153704E-3"/>
    <n v="0"/>
    <n v="4"/>
    <n v="4"/>
    <s v="BSDEX|ETHEUR|004"/>
    <n v="-7.7727952167412351E-3"/>
  </r>
  <r>
    <x v="0"/>
    <x v="1"/>
    <s v="buy"/>
    <d v="2025-11-11T10:00:00"/>
    <n v="100"/>
    <n v="3.2370700000000002E-2"/>
    <n v="3081.5"/>
    <n v="0.25"/>
    <n v="3089.213393593589"/>
    <n v="2.5031295127662112E-3"/>
    <n v="3.2370700000000002E-2"/>
    <n v="3"/>
    <n v="4"/>
    <s v="Bitvavo|ETHEUR|004"/>
    <n v="-5.5999999999999384E-3"/>
  </r>
  <r>
    <x v="0"/>
    <x v="1"/>
    <s v="sell"/>
    <d v="2025-11-11T10:00:00"/>
    <n v="99.44"/>
    <n v="3.2370700000000002E-2"/>
    <n v="3079.8"/>
    <n v="0.26"/>
    <n v="3071.9137985894649"/>
    <n v="-2.560621277529429E-3"/>
    <n v="0"/>
    <n v="4"/>
    <n v="4"/>
    <s v="Bitvavo|ETHEUR|004"/>
    <n v="-5.5999999999999384E-3"/>
  </r>
  <r>
    <x v="4"/>
    <x v="2"/>
    <s v="buy"/>
    <d v="2025-11-13T21:44:00"/>
    <n v="100.35"/>
    <n v="8.1498928280000005"/>
    <n v="12.27"/>
    <n v="0.35"/>
    <n v="12.313045351373789"/>
    <n v="3.5081785960708878E-3"/>
    <n v="8.1498928280000023"/>
    <n v="3"/>
    <n v="4"/>
    <s v="BSDEX|LINKEUR|004"/>
    <n v="-6.9755854509216952E-3"/>
  </r>
  <r>
    <x v="4"/>
    <x v="2"/>
    <s v="sell"/>
    <d v="2025-11-13T21:44:00"/>
    <n v="99.65"/>
    <n v="8.1498928280000005"/>
    <n v="12.27"/>
    <n v="0.35"/>
    <n v="12.227154651364208"/>
    <n v="-3.4918784544247794E-3"/>
    <n v="0"/>
    <n v="4"/>
    <n v="4"/>
    <s v="BSDEX|LINKEUR|004"/>
    <n v="-6.9755854509216952E-3"/>
  </r>
  <r>
    <x v="0"/>
    <x v="2"/>
    <s v="buy"/>
    <d v="2025-11-13T21:43:00"/>
    <n v="100"/>
    <n v="8.1455169000000005"/>
    <n v="12.246"/>
    <n v="0.25"/>
    <n v="12.276691734566286"/>
    <n v="2.5062660922983149E-3"/>
    <n v="8.1455169000000005"/>
    <n v="3"/>
    <n v="4"/>
    <s v="Bitvavo|LINKEUR|004"/>
    <n v="-6.9000000000000172E-3"/>
  </r>
  <r>
    <x v="0"/>
    <x v="2"/>
    <s v="sell"/>
    <d v="2025-11-13T21:44:00"/>
    <n v="99.31"/>
    <n v="8.1455169000000005"/>
    <n v="12.223000000000001"/>
    <n v="0.25"/>
    <n v="12.191982561597779"/>
    <n v="-2.5376289292499132E-3"/>
    <n v="0"/>
    <n v="4"/>
    <n v="4"/>
    <s v="Bitvavo|LINKEUR|004"/>
    <n v="-6.9000000000000172E-3"/>
  </r>
  <r>
    <x v="0"/>
    <x v="0"/>
    <s v="buy"/>
    <d v="2025-11-14T14:28:00"/>
    <n v="100"/>
    <n v="1.22338E-3"/>
    <n v="81536"/>
    <n v="0.25"/>
    <n v="81740.751034020504"/>
    <n v="2.5111733960521132E-3"/>
    <n v="1.2233800000000005E-3"/>
    <n v="4"/>
    <n v="5"/>
    <s v="Bitvavo|BTCEUR|005"/>
    <n v="-5.1999999999999824E-3"/>
  </r>
  <r>
    <x v="0"/>
    <x v="0"/>
    <s v="sell"/>
    <d v="2025-11-14T14:28:00"/>
    <n v="99.48"/>
    <n v="1.22338E-3"/>
    <n v="61524"/>
    <n v="0.25"/>
    <n v="81315.699128643595"/>
    <n v="0.32169070815687539"/>
    <n v="0"/>
    <n v="5"/>
    <n v="5"/>
    <s v="Bitvavo|BTCEUR|005"/>
    <n v="-5.1999999999999824E-3"/>
  </r>
  <r>
    <x v="4"/>
    <x v="0"/>
    <s v="buy"/>
    <d v="2025-11-14T14:28:00"/>
    <n v="100.35"/>
    <n v="1.22602E-3"/>
    <n v="81564.289999999994"/>
    <n v="0.35"/>
    <n v="81850.214515260755"/>
    <n v="3.5055109933619377E-3"/>
    <n v="1.2260200000000004E-3"/>
    <n v="4"/>
    <n v="5"/>
    <s v="BSDEX|BTCEUR|005"/>
    <n v="-7.3741903338315762E-3"/>
  </r>
  <r>
    <x v="4"/>
    <x v="0"/>
    <s v="sell"/>
    <d v="2025-11-14T14:28:00"/>
    <n v="99.61"/>
    <n v="1.22602E-3"/>
    <n v="81534.61"/>
    <n v="0.35"/>
    <n v="81246.635454560281"/>
    <n v="-3.5319301268469383E-3"/>
    <n v="0"/>
    <n v="5"/>
    <n v="5"/>
    <s v="BSDEX|BTCEUR|005"/>
    <n v="-7.3741903338315762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9BFE3-3132-A440-ADD9-BD1BAA2BE350}" name="PivotTable2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28" firstHeaderRow="1" firstDataRow="1" firstDataCol="1"/>
  <pivotFields count="15">
    <pivotField axis="axisRow" showAll="0" sortType="descending">
      <items count="7">
        <item x="1"/>
        <item x="2"/>
        <item x="0"/>
        <item x="4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4">
        <item x="0"/>
        <item x="1"/>
        <item x="2"/>
        <item t="default"/>
      </items>
    </pivotField>
    <pivotField showAll="0"/>
    <pivotField numFmtId="22"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dataField="1" showAll="0"/>
  </pivotFields>
  <rowFields count="2">
    <field x="0"/>
    <field x="1"/>
  </rowFields>
  <rowItems count="25"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Items count="1">
    <i/>
  </colItems>
  <dataFields count="1">
    <dataField name="Mittelwert von Prozentuale Rendite pro Zyklus (nutzt I = Effective_Price)" fld="14" subtotal="average" baseField="0" baseItem="0" numFmtId="10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FE8C6-4884-7D42-93B3-C81D9BA58534}">
  <sheetPr>
    <tabColor theme="9"/>
  </sheetPr>
  <dimension ref="A1"/>
  <sheetViews>
    <sheetView workbookViewId="0"/>
  </sheetViews>
  <sheetFormatPr baseColWidth="10" defaultRowHeight="16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9A3F5-B12A-1344-BBF0-5A53B6FB71BB}">
  <dimension ref="A3:B28"/>
  <sheetViews>
    <sheetView zoomScale="109" workbookViewId="0">
      <selection activeCell="D23" sqref="D23"/>
    </sheetView>
  </sheetViews>
  <sheetFormatPr baseColWidth="10" defaultRowHeight="16" x14ac:dyDescent="0.2"/>
  <cols>
    <col min="1" max="1" width="21.33203125" bestFit="1" customWidth="1"/>
    <col min="2" max="2" width="60.6640625" style="2" bestFit="1" customWidth="1"/>
  </cols>
  <sheetData>
    <row r="3" spans="1:2" x14ac:dyDescent="0.2">
      <c r="A3" s="4" t="s">
        <v>21</v>
      </c>
      <c r="B3" s="7" t="s">
        <v>28</v>
      </c>
    </row>
    <row r="4" spans="1:2" x14ac:dyDescent="0.2">
      <c r="A4" s="5" t="s">
        <v>6</v>
      </c>
      <c r="B4" s="7">
        <v>-5.7999999999999675E-3</v>
      </c>
    </row>
    <row r="5" spans="1:2" x14ac:dyDescent="0.2">
      <c r="A5" s="6" t="s">
        <v>7</v>
      </c>
      <c r="B5" s="7">
        <v>-6.2000000000000059E-3</v>
      </c>
    </row>
    <row r="6" spans="1:2" x14ac:dyDescent="0.2">
      <c r="A6" s="6" t="s">
        <v>16</v>
      </c>
      <c r="B6" s="7">
        <v>-5.1999999999999269E-3</v>
      </c>
    </row>
    <row r="7" spans="1:2" x14ac:dyDescent="0.2">
      <c r="A7" s="6" t="s">
        <v>17</v>
      </c>
      <c r="B7" s="7">
        <v>-5.8999999999999608E-3</v>
      </c>
    </row>
    <row r="8" spans="1:2" x14ac:dyDescent="0.2">
      <c r="A8" s="5" t="s">
        <v>14</v>
      </c>
      <c r="B8" s="7">
        <v>-8.7539764669808222E-3</v>
      </c>
    </row>
    <row r="9" spans="1:2" x14ac:dyDescent="0.2">
      <c r="A9" s="6" t="s">
        <v>7</v>
      </c>
      <c r="B9" s="7">
        <v>-8.6497259591428836E-3</v>
      </c>
    </row>
    <row r="10" spans="1:2" x14ac:dyDescent="0.2">
      <c r="A10" s="6" t="s">
        <v>16</v>
      </c>
      <c r="B10" s="7">
        <v>-7.5485799701044687E-3</v>
      </c>
    </row>
    <row r="11" spans="1:2" x14ac:dyDescent="0.2">
      <c r="A11" s="6" t="s">
        <v>17</v>
      </c>
      <c r="B11" s="7">
        <v>-1.0089686098654599E-2</v>
      </c>
    </row>
    <row r="12" spans="1:2" x14ac:dyDescent="0.2">
      <c r="A12" s="5" t="s">
        <v>11</v>
      </c>
      <c r="B12" s="7">
        <v>-2.5816666666666693E-2</v>
      </c>
    </row>
    <row r="13" spans="1:2" x14ac:dyDescent="0.2">
      <c r="A13" s="6" t="s">
        <v>7</v>
      </c>
      <c r="B13" s="7">
        <v>-2.7299999999999991E-2</v>
      </c>
    </row>
    <row r="14" spans="1:2" x14ac:dyDescent="0.2">
      <c r="A14" s="6" t="s">
        <v>16</v>
      </c>
      <c r="B14" s="7">
        <v>-2.5000000000000022E-2</v>
      </c>
    </row>
    <row r="15" spans="1:2" x14ac:dyDescent="0.2">
      <c r="A15" s="6" t="s">
        <v>17</v>
      </c>
      <c r="B15" s="7">
        <v>-2.5150000000000061E-2</v>
      </c>
    </row>
    <row r="16" spans="1:2" x14ac:dyDescent="0.2">
      <c r="A16" s="5" t="s">
        <v>15</v>
      </c>
      <c r="B16" s="7">
        <v>-5.8100000000000041E-2</v>
      </c>
    </row>
    <row r="17" spans="1:2" x14ac:dyDescent="0.2">
      <c r="A17" s="6" t="s">
        <v>7</v>
      </c>
      <c r="B17" s="7">
        <v>-5.5300000000000016E-2</v>
      </c>
    </row>
    <row r="18" spans="1:2" x14ac:dyDescent="0.2">
      <c r="A18" s="6" t="s">
        <v>16</v>
      </c>
      <c r="B18" s="7">
        <v>-5.5350000000000066E-2</v>
      </c>
    </row>
    <row r="19" spans="1:2" x14ac:dyDescent="0.2">
      <c r="A19" s="6" t="s">
        <v>17</v>
      </c>
      <c r="B19" s="7">
        <v>-6.365000000000004E-2</v>
      </c>
    </row>
    <row r="20" spans="1:2" x14ac:dyDescent="0.2">
      <c r="A20" s="5" t="s">
        <v>12</v>
      </c>
      <c r="B20" s="7">
        <v>-6.2266666666666713E-2</v>
      </c>
    </row>
    <row r="21" spans="1:2" x14ac:dyDescent="0.2">
      <c r="A21" s="6" t="s">
        <v>7</v>
      </c>
      <c r="B21" s="7">
        <v>-4.5900000000000052E-2</v>
      </c>
    </row>
    <row r="22" spans="1:2" x14ac:dyDescent="0.2">
      <c r="A22" s="6" t="s">
        <v>16</v>
      </c>
      <c r="B22" s="7">
        <v>-6.4950000000000008E-2</v>
      </c>
    </row>
    <row r="23" spans="1:2" x14ac:dyDescent="0.2">
      <c r="A23" s="6" t="s">
        <v>17</v>
      </c>
      <c r="B23" s="7">
        <v>-7.5950000000000073E-2</v>
      </c>
    </row>
    <row r="24" spans="1:2" x14ac:dyDescent="0.2">
      <c r="A24" s="5" t="s">
        <v>13</v>
      </c>
      <c r="B24" s="7">
        <v>-7.4883333333333288E-2</v>
      </c>
    </row>
    <row r="25" spans="1:2" x14ac:dyDescent="0.2">
      <c r="A25" s="6" t="s">
        <v>7</v>
      </c>
      <c r="B25" s="7">
        <v>-6.6549999999999887E-2</v>
      </c>
    </row>
    <row r="26" spans="1:2" x14ac:dyDescent="0.2">
      <c r="A26" s="6" t="s">
        <v>16</v>
      </c>
      <c r="B26" s="7">
        <v>-7.9299999999999982E-2</v>
      </c>
    </row>
    <row r="27" spans="1:2" x14ac:dyDescent="0.2">
      <c r="A27" s="6" t="s">
        <v>17</v>
      </c>
      <c r="B27" s="7">
        <v>-7.8799999999999981E-2</v>
      </c>
    </row>
    <row r="28" spans="1:2" x14ac:dyDescent="0.2">
      <c r="A28" s="5" t="s">
        <v>22</v>
      </c>
      <c r="B28" s="7">
        <v>-3.0312033881414992E-2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587D9-FBED-4A48-A35A-4FECD759B480}">
  <sheetPr>
    <tabColor theme="7"/>
  </sheetPr>
  <dimension ref="A1"/>
  <sheetViews>
    <sheetView workbookViewId="0"/>
  </sheetViews>
  <sheetFormatPr baseColWidth="10" defaultRowHeight="16" x14ac:dyDescent="0.2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549AA-158E-9144-83BF-62A9F3EB55DC}">
  <dimension ref="A1:O101"/>
  <sheetViews>
    <sheetView tabSelected="1" workbookViewId="0">
      <selection activeCell="K2" sqref="K2"/>
    </sheetView>
  </sheetViews>
  <sheetFormatPr baseColWidth="10" defaultRowHeight="16" x14ac:dyDescent="0.2"/>
  <cols>
    <col min="4" max="4" width="13.5" bestFit="1" customWidth="1"/>
    <col min="5" max="5" width="10.83203125" style="8"/>
    <col min="7" max="9" width="10.83203125" style="8"/>
    <col min="12" max="12" width="14.33203125" style="5" customWidth="1"/>
    <col min="13" max="13" width="8.1640625" style="9" customWidth="1"/>
    <col min="15" max="15" width="10.83203125" style="2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s="8" t="s">
        <v>4</v>
      </c>
      <c r="F1" t="s">
        <v>5</v>
      </c>
      <c r="G1" s="8" t="s">
        <v>9</v>
      </c>
      <c r="H1" s="8" t="s">
        <v>18</v>
      </c>
      <c r="I1" s="8" t="s">
        <v>19</v>
      </c>
      <c r="J1" t="s">
        <v>20</v>
      </c>
      <c r="K1" t="s">
        <v>23</v>
      </c>
      <c r="L1" s="5" t="s">
        <v>24</v>
      </c>
      <c r="M1" s="9" t="s">
        <v>25</v>
      </c>
      <c r="N1" t="s">
        <v>26</v>
      </c>
      <c r="O1" s="2" t="s">
        <v>27</v>
      </c>
    </row>
    <row r="2" spans="1:15" x14ac:dyDescent="0.2">
      <c r="A2" t="s">
        <v>6</v>
      </c>
      <c r="B2" t="s">
        <v>7</v>
      </c>
      <c r="C2" t="s">
        <v>8</v>
      </c>
      <c r="D2" s="1">
        <v>45961.599999999999</v>
      </c>
      <c r="E2" s="8">
        <v>100</v>
      </c>
      <c r="F2">
        <v>1.04834E-3</v>
      </c>
      <c r="G2" s="8">
        <v>95150</v>
      </c>
      <c r="H2" s="8">
        <v>0.25</v>
      </c>
      <c r="I2" s="8">
        <f>E2/F2</f>
        <v>95388.900547532292</v>
      </c>
      <c r="J2" s="3">
        <f>(E2/F2)/G2 - 1</f>
        <v>2.5107782189415229E-3</v>
      </c>
      <c r="K2">
        <f>SUMIFS($F$2:F2,$A$2:A2,$A2,$B$2:B2,$B2,$C$2:C2,"buy")
 -SUMIFS($F$2:F2,$A$2:A2,$A2,$B$2:B2,$B2,$C$2:C2,"sell")</f>
        <v>1.04834E-3</v>
      </c>
      <c r="L2" s="5">
        <f>COUNTIFS($A$2:A2,$A2,$B$2:B2,$B2,$K$2:K2,0)</f>
        <v>0</v>
      </c>
      <c r="M2" s="9">
        <f xml:space="preserve"> L2 + IF(K2=0,0,1)</f>
        <v>1</v>
      </c>
      <c r="N2" t="str">
        <f xml:space="preserve"> A2 &amp; "|" &amp; B2 &amp; "|" &amp; TEXT(M2,"000")</f>
        <v>Bitvavo|BTCEUR|001</v>
      </c>
      <c r="O2" s="2">
        <f t="shared" ref="O2:O17" si="0">IFERROR(_xlfn.MAXIFS($I:$I,$N:$N,$N2,$C:$C,"sell")/_xlfn.MINIFS($I:$I,$N:$N,$N2,$C:$C,"buy") - 1,"")</f>
        <v>-4.7000000000001485E-3</v>
      </c>
    </row>
    <row r="3" spans="1:15" x14ac:dyDescent="0.2">
      <c r="A3" t="s">
        <v>6</v>
      </c>
      <c r="B3" t="s">
        <v>7</v>
      </c>
      <c r="C3" t="s">
        <v>10</v>
      </c>
      <c r="D3" s="1">
        <v>45961.602777777778</v>
      </c>
      <c r="E3" s="8">
        <v>99.53</v>
      </c>
      <c r="F3">
        <v>1.04834E-3</v>
      </c>
      <c r="G3" s="8">
        <v>95180</v>
      </c>
      <c r="H3" s="8">
        <v>0.25</v>
      </c>
      <c r="I3" s="8">
        <f t="shared" ref="I3:I19" si="1">E3/F3</f>
        <v>94940.572714958878</v>
      </c>
      <c r="J3" s="3">
        <f t="shared" ref="J3:J70" si="2">(E3/F3)/G3 - 1</f>
        <v>-2.5155209607178319E-3</v>
      </c>
      <c r="K3">
        <f>SUMIFS($F$2:F3,$A$2:A3,$A3,$B$2:B3,$B3,$C$2:C3,"buy")
 -SUMIFS($F$2:F3,$A$2:A3,$A3,$B$2:B3,$B3,$C$2:C3,"sell")</f>
        <v>0</v>
      </c>
      <c r="L3" s="5">
        <f>COUNTIFS($A$2:A3,$A3,$B$2:B3,$B3,$K$2:K3,0)</f>
        <v>1</v>
      </c>
      <c r="M3" s="9">
        <f t="shared" ref="M3:M66" si="3" xml:space="preserve"> L3 + IF(K3=0,0,1)</f>
        <v>1</v>
      </c>
      <c r="N3" t="str">
        <f t="shared" ref="N3:N66" si="4" xml:space="preserve"> A3 &amp; "|" &amp; B3 &amp; "|" &amp; TEXT(M3,"000")</f>
        <v>Bitvavo|BTCEUR|001</v>
      </c>
      <c r="O3" s="2">
        <f t="shared" si="0"/>
        <v>-4.7000000000001485E-3</v>
      </c>
    </row>
    <row r="4" spans="1:15" x14ac:dyDescent="0.2">
      <c r="A4" t="s">
        <v>11</v>
      </c>
      <c r="B4" t="s">
        <v>7</v>
      </c>
      <c r="C4" t="s">
        <v>8</v>
      </c>
      <c r="D4" s="1">
        <v>45961.599999999999</v>
      </c>
      <c r="E4" s="8">
        <v>100</v>
      </c>
      <c r="F4">
        <v>1.0376999999999999E-3</v>
      </c>
      <c r="G4" s="8">
        <v>96366.59</v>
      </c>
      <c r="I4" s="8">
        <f t="shared" si="1"/>
        <v>96366.965404259434</v>
      </c>
      <c r="J4" s="3">
        <f t="shared" si="2"/>
        <v>3.8955851757727089E-6</v>
      </c>
      <c r="K4">
        <f>SUMIFS($F$2:F4,$A$2:A4,$A4,$B$2:B4,$B4,$C$2:C4,"buy")
 -SUMIFS($F$2:F4,$A$2:A4,$A4,$B$2:B4,$B4,$C$2:C4,"sell")</f>
        <v>1.0376999999999999E-3</v>
      </c>
      <c r="L4" s="5">
        <f>COUNTIFS($A$2:A4,$A4,$B$2:B4,$B4,$K$2:K4,0)</f>
        <v>0</v>
      </c>
      <c r="M4" s="9">
        <f t="shared" si="3"/>
        <v>1</v>
      </c>
      <c r="N4" t="str">
        <f t="shared" si="4"/>
        <v>Bison|BTCEUR|001</v>
      </c>
      <c r="O4" s="2">
        <f t="shared" si="0"/>
        <v>-2.4399999999999977E-2</v>
      </c>
    </row>
    <row r="5" spans="1:15" x14ac:dyDescent="0.2">
      <c r="A5" t="s">
        <v>11</v>
      </c>
      <c r="B5" t="s">
        <v>7</v>
      </c>
      <c r="C5" t="s">
        <v>10</v>
      </c>
      <c r="D5" s="1">
        <v>45961.602083333331</v>
      </c>
      <c r="E5" s="8">
        <v>97.56</v>
      </c>
      <c r="F5">
        <v>1.0376999999999999E-3</v>
      </c>
      <c r="G5" s="8">
        <v>94019.25</v>
      </c>
      <c r="I5" s="8">
        <f t="shared" si="1"/>
        <v>94015.611448395503</v>
      </c>
      <c r="J5" s="3">
        <f t="shared" si="2"/>
        <v>-3.8700070512098783E-5</v>
      </c>
      <c r="K5">
        <f>SUMIFS($F$2:F5,$A$2:A5,$A5,$B$2:B5,$B5,$C$2:C5,"buy")
 -SUMIFS($F$2:F5,$A$2:A5,$A5,$B$2:B5,$B5,$C$2:C5,"sell")</f>
        <v>0</v>
      </c>
      <c r="L5" s="5">
        <f>COUNTIFS($A$2:A5,$A5,$B$2:B5,$B5,$K$2:K5,0)</f>
        <v>1</v>
      </c>
      <c r="M5" s="9">
        <f t="shared" si="3"/>
        <v>1</v>
      </c>
      <c r="N5" t="str">
        <f t="shared" si="4"/>
        <v>Bison|BTCEUR|001</v>
      </c>
      <c r="O5" s="2">
        <f t="shared" si="0"/>
        <v>-2.4399999999999977E-2</v>
      </c>
    </row>
    <row r="6" spans="1:15" x14ac:dyDescent="0.2">
      <c r="A6" t="s">
        <v>12</v>
      </c>
      <c r="B6" t="s">
        <v>7</v>
      </c>
      <c r="C6" t="s">
        <v>8</v>
      </c>
      <c r="D6" s="1">
        <v>45961.599999999999</v>
      </c>
      <c r="E6" s="8">
        <v>100</v>
      </c>
      <c r="F6">
        <v>1.0323800000000001E-3</v>
      </c>
      <c r="G6" s="8">
        <v>96863.12</v>
      </c>
      <c r="H6" s="8">
        <v>1</v>
      </c>
      <c r="I6" s="8">
        <f t="shared" si="1"/>
        <v>96863.557992212169</v>
      </c>
      <c r="J6" s="3">
        <f t="shared" si="2"/>
        <v>4.5217644462081097E-6</v>
      </c>
      <c r="K6">
        <f>SUMIFS($F$2:F6,$A$2:A6,$A6,$B$2:B6,$B6,$C$2:C6,"buy")
 -SUMIFS($F$2:F6,$A$2:A6,$A6,$B$2:B6,$B6,$C$2:C6,"sell")</f>
        <v>1.0323800000000001E-3</v>
      </c>
      <c r="L6" s="5">
        <f>COUNTIFS($A$2:A6,$A6,$B$2:B6,$B6,$K$2:K6,0)</f>
        <v>0</v>
      </c>
      <c r="M6" s="9">
        <f t="shared" si="3"/>
        <v>1</v>
      </c>
      <c r="N6" t="str">
        <f t="shared" si="4"/>
        <v>Bitpanda|BTCEUR|001</v>
      </c>
      <c r="O6" s="2">
        <f t="shared" si="0"/>
        <v>-4.3100000000000027E-2</v>
      </c>
    </row>
    <row r="7" spans="1:15" x14ac:dyDescent="0.2">
      <c r="A7" t="s">
        <v>12</v>
      </c>
      <c r="B7" t="s">
        <v>7</v>
      </c>
      <c r="C7" t="s">
        <v>10</v>
      </c>
      <c r="D7" s="1">
        <v>45961.602777777778</v>
      </c>
      <c r="E7" s="8">
        <v>95.69</v>
      </c>
      <c r="F7">
        <v>1.0323800000000001E-3</v>
      </c>
      <c r="G7" s="8">
        <v>93628.2</v>
      </c>
      <c r="H7" s="8">
        <v>0.96</v>
      </c>
      <c r="I7" s="8">
        <f t="shared" si="1"/>
        <v>92688.73864274782</v>
      </c>
      <c r="J7" s="3">
        <f t="shared" si="2"/>
        <v>-1.0033957261297077E-2</v>
      </c>
      <c r="K7">
        <f>SUMIFS($F$2:F7,$A$2:A7,$A7,$B$2:B7,$B7,$C$2:C7,"buy")
 -SUMIFS($F$2:F7,$A$2:A7,$A7,$B$2:B7,$B7,$C$2:C7,"sell")</f>
        <v>0</v>
      </c>
      <c r="L7" s="5">
        <f>COUNTIFS($A$2:A7,$A7,$B$2:B7,$B7,$K$2:K7,0)</f>
        <v>1</v>
      </c>
      <c r="M7" s="9">
        <f t="shared" si="3"/>
        <v>1</v>
      </c>
      <c r="N7" t="str">
        <f t="shared" si="4"/>
        <v>Bitpanda|BTCEUR|001</v>
      </c>
      <c r="O7" s="2">
        <f t="shared" si="0"/>
        <v>-4.3100000000000027E-2</v>
      </c>
    </row>
    <row r="8" spans="1:15" x14ac:dyDescent="0.2">
      <c r="A8" t="s">
        <v>13</v>
      </c>
      <c r="B8" t="s">
        <v>7</v>
      </c>
      <c r="C8" t="s">
        <v>8</v>
      </c>
      <c r="D8" s="1">
        <v>45961.599999999999</v>
      </c>
      <c r="E8" s="8">
        <v>100</v>
      </c>
      <c r="F8">
        <v>1.0094100000000001E-3</v>
      </c>
      <c r="G8" s="8">
        <v>96105.65</v>
      </c>
      <c r="H8" s="8">
        <v>2.99</v>
      </c>
      <c r="I8" s="8">
        <f t="shared" si="1"/>
        <v>99067.772263005114</v>
      </c>
      <c r="J8" s="3">
        <f t="shared" si="2"/>
        <v>3.0821520514195733E-2</v>
      </c>
      <c r="K8">
        <f>SUMIFS($F$2:F8,$A$2:A8,$A8,$B$2:B8,$B8,$C$2:C8,"buy")
 -SUMIFS($F$2:F8,$A$2:A8,$A8,$B$2:B8,$B8,$C$2:C8,"sell")</f>
        <v>1.0094100000000001E-3</v>
      </c>
      <c r="L8" s="5">
        <f>COUNTIFS($A$2:A8,$A8,$B$2:B8,$B8,$K$2:K8,0)</f>
        <v>0</v>
      </c>
      <c r="M8" s="9">
        <f t="shared" si="3"/>
        <v>1</v>
      </c>
      <c r="N8" t="str">
        <f t="shared" si="4"/>
        <v>Coinbase|BTCEUR|001</v>
      </c>
      <c r="O8" s="2">
        <f t="shared" si="0"/>
        <v>-7.8499999999999903E-2</v>
      </c>
    </row>
    <row r="9" spans="1:15" x14ac:dyDescent="0.2">
      <c r="A9" t="s">
        <v>13</v>
      </c>
      <c r="B9" t="s">
        <v>7</v>
      </c>
      <c r="C9" t="s">
        <v>10</v>
      </c>
      <c r="D9" s="1">
        <v>45961.602777777778</v>
      </c>
      <c r="E9" s="8">
        <v>92.15</v>
      </c>
      <c r="F9">
        <v>1.0094100000000001E-3</v>
      </c>
      <c r="G9" s="8">
        <v>94253.08</v>
      </c>
      <c r="H9" s="8">
        <v>2.99</v>
      </c>
      <c r="I9" s="8">
        <f t="shared" si="1"/>
        <v>91290.952140359223</v>
      </c>
      <c r="J9" s="3">
        <f t="shared" si="2"/>
        <v>-3.1427385286940002E-2</v>
      </c>
      <c r="K9">
        <f>SUMIFS($F$2:F9,$A$2:A9,$A9,$B$2:B9,$B9,$C$2:C9,"buy")
 -SUMIFS($F$2:F9,$A$2:A9,$A9,$B$2:B9,$B9,$C$2:C9,"sell")</f>
        <v>0</v>
      </c>
      <c r="L9" s="5">
        <f>COUNTIFS($A$2:A9,$A9,$B$2:B9,$B9,$K$2:K9,0)</f>
        <v>1</v>
      </c>
      <c r="M9" s="9">
        <f t="shared" si="3"/>
        <v>1</v>
      </c>
      <c r="N9" t="str">
        <f t="shared" si="4"/>
        <v>Coinbase|BTCEUR|001</v>
      </c>
      <c r="O9" s="2">
        <f t="shared" si="0"/>
        <v>-7.8499999999999903E-2</v>
      </c>
    </row>
    <row r="10" spans="1:15" x14ac:dyDescent="0.2">
      <c r="A10" t="s">
        <v>14</v>
      </c>
      <c r="B10" t="s">
        <v>7</v>
      </c>
      <c r="C10" t="s">
        <v>8</v>
      </c>
      <c r="D10" s="1">
        <v>45961.599999999999</v>
      </c>
      <c r="E10" s="8">
        <v>100.35</v>
      </c>
      <c r="F10">
        <v>1.05006E-3</v>
      </c>
      <c r="G10" s="8">
        <v>95232.13</v>
      </c>
      <c r="H10" s="8">
        <v>0.35</v>
      </c>
      <c r="I10" s="8">
        <f t="shared" si="1"/>
        <v>95565.967658990907</v>
      </c>
      <c r="J10" s="3">
        <f t="shared" si="2"/>
        <v>3.5055149873357561E-3</v>
      </c>
      <c r="K10">
        <f>SUMIFS($F$2:F10,$A$2:A10,$A10,$B$2:B10,$B10,$C$2:C10,"buy")
 -SUMIFS($F$2:F10,$A$2:A10,$A10,$B$2:B10,$B10,$C$2:C10,"sell")</f>
        <v>1.05006E-3</v>
      </c>
      <c r="L10" s="5">
        <f>COUNTIFS($A$2:A10,$A10,$B$2:B10,$B10,$K$2:K10,0)</f>
        <v>0</v>
      </c>
      <c r="M10" s="9">
        <f t="shared" si="3"/>
        <v>1</v>
      </c>
      <c r="N10" t="str">
        <f t="shared" si="4"/>
        <v>BSDEX|BTCEUR|001</v>
      </c>
      <c r="O10" s="2">
        <f t="shared" si="0"/>
        <v>-7.3741903338314652E-3</v>
      </c>
    </row>
    <row r="11" spans="1:15" x14ac:dyDescent="0.2">
      <c r="A11" t="s">
        <v>14</v>
      </c>
      <c r="B11" t="s">
        <v>7</v>
      </c>
      <c r="C11" t="s">
        <v>10</v>
      </c>
      <c r="D11" s="1">
        <v>45961.602777777778</v>
      </c>
      <c r="E11" s="8">
        <f>99.96-H11</f>
        <v>99.61</v>
      </c>
      <c r="F11">
        <v>1.05006E-3</v>
      </c>
      <c r="G11" s="8">
        <v>95194.19</v>
      </c>
      <c r="H11" s="8">
        <v>0.35</v>
      </c>
      <c r="I11" s="8">
        <f t="shared" si="1"/>
        <v>94861.246024036722</v>
      </c>
      <c r="J11" s="3">
        <f t="shared" si="2"/>
        <v>-3.4975241237230614E-3</v>
      </c>
      <c r="K11">
        <f>SUMIFS($F$2:F11,$A$2:A11,$A11,$B$2:B11,$B11,$C$2:C11,"buy")
 -SUMIFS($F$2:F11,$A$2:A11,$A11,$B$2:B11,$B11,$C$2:C11,"sell")</f>
        <v>0</v>
      </c>
      <c r="L11" s="5">
        <f>COUNTIFS($A$2:A11,$A11,$B$2:B11,$B11,$K$2:K11,0)</f>
        <v>1</v>
      </c>
      <c r="M11" s="9">
        <f t="shared" si="3"/>
        <v>1</v>
      </c>
      <c r="N11" t="str">
        <f t="shared" si="4"/>
        <v>BSDEX|BTCEUR|001</v>
      </c>
      <c r="O11" s="2">
        <f t="shared" si="0"/>
        <v>-7.3741903338314652E-3</v>
      </c>
    </row>
    <row r="12" spans="1:15" x14ac:dyDescent="0.2">
      <c r="A12" t="s">
        <v>15</v>
      </c>
      <c r="B12" t="s">
        <v>7</v>
      </c>
      <c r="C12" t="s">
        <v>8</v>
      </c>
      <c r="D12" s="1">
        <v>45961.599999999999</v>
      </c>
      <c r="E12" s="8">
        <v>100</v>
      </c>
      <c r="F12">
        <v>1.0224500000000001E-3</v>
      </c>
      <c r="G12" s="8">
        <v>96836.28</v>
      </c>
      <c r="H12" s="8">
        <v>0.99</v>
      </c>
      <c r="I12" s="8">
        <f t="shared" si="1"/>
        <v>97804.293608489403</v>
      </c>
      <c r="J12" s="3">
        <f t="shared" si="2"/>
        <v>9.9963940011884578E-3</v>
      </c>
      <c r="K12">
        <f>SUMIFS($F$2:F12,$A$2:A12,$A12,$B$2:B12,$B12,$C$2:C12,"buy")
 -SUMIFS($F$2:F12,$A$2:A12,$A12,$B$2:B12,$B12,$C$2:C12,"sell")</f>
        <v>1.0224500000000001E-3</v>
      </c>
      <c r="L12" s="5">
        <f>COUNTIFS($A$2:A12,$A12,$B$2:B12,$B12,$K$2:K12,0)</f>
        <v>0</v>
      </c>
      <c r="M12" s="9">
        <f t="shared" si="3"/>
        <v>1</v>
      </c>
      <c r="N12" t="str">
        <f t="shared" si="4"/>
        <v>Kraken|BTCEUR|001</v>
      </c>
      <c r="O12" s="2">
        <f t="shared" si="0"/>
        <v>-5.2600000000000091E-2</v>
      </c>
    </row>
    <row r="13" spans="1:15" x14ac:dyDescent="0.2">
      <c r="A13" t="s">
        <v>15</v>
      </c>
      <c r="B13" t="s">
        <v>7</v>
      </c>
      <c r="C13" t="s">
        <v>10</v>
      </c>
      <c r="D13" s="1">
        <v>45961.602777777778</v>
      </c>
      <c r="E13" s="8">
        <v>94.74</v>
      </c>
      <c r="F13">
        <v>1.0224500000000001E-3</v>
      </c>
      <c r="G13" s="8">
        <v>93586.26</v>
      </c>
      <c r="H13" s="8">
        <v>0.95</v>
      </c>
      <c r="I13" s="8">
        <f t="shared" si="1"/>
        <v>92659.787764682857</v>
      </c>
      <c r="J13" s="3">
        <f t="shared" si="2"/>
        <v>-9.8996608617241133E-3</v>
      </c>
      <c r="K13">
        <f>SUMIFS($F$2:F13,$A$2:A13,$A13,$B$2:B13,$B13,$C$2:C13,"buy")
 -SUMIFS($F$2:F13,$A$2:A13,$A13,$B$2:B13,$B13,$C$2:C13,"sell")</f>
        <v>0</v>
      </c>
      <c r="L13" s="5">
        <f>COUNTIFS($A$2:A13,$A13,$B$2:B13,$B13,$K$2:K13,0)</f>
        <v>1</v>
      </c>
      <c r="M13" s="9">
        <f t="shared" si="3"/>
        <v>1</v>
      </c>
      <c r="N13" t="str">
        <f t="shared" si="4"/>
        <v>Kraken|BTCEUR|001</v>
      </c>
      <c r="O13" s="2">
        <f t="shared" si="0"/>
        <v>-5.2600000000000091E-2</v>
      </c>
    </row>
    <row r="14" spans="1:15" x14ac:dyDescent="0.2">
      <c r="A14" t="s">
        <v>13</v>
      </c>
      <c r="B14" t="s">
        <v>16</v>
      </c>
      <c r="C14" t="s">
        <v>8</v>
      </c>
      <c r="D14" s="1">
        <v>45963.470138888886</v>
      </c>
      <c r="E14" s="8">
        <v>100</v>
      </c>
      <c r="F14">
        <v>2.8723160000000001E-2</v>
      </c>
      <c r="G14" s="8">
        <v>3377.41</v>
      </c>
      <c r="H14" s="8">
        <v>2.99</v>
      </c>
      <c r="I14" s="8">
        <f t="shared" si="1"/>
        <v>3481.5110872202081</v>
      </c>
      <c r="J14" s="3">
        <f t="shared" si="2"/>
        <v>3.0822756852205702E-2</v>
      </c>
      <c r="K14">
        <f>SUMIFS($F$2:F14,$A$2:A14,$A14,$B$2:B14,$B14,$C$2:C14,"buy")
 -SUMIFS($F$2:F14,$A$2:A14,$A14,$B$2:B14,$B14,$C$2:C14,"sell")</f>
        <v>2.8723160000000001E-2</v>
      </c>
      <c r="L14" s="5">
        <f>COUNTIFS($A$2:A14,$A14,$B$2:B14,$B14,$K$2:K14,0)</f>
        <v>0</v>
      </c>
      <c r="M14" s="9">
        <f t="shared" si="3"/>
        <v>1</v>
      </c>
      <c r="N14" t="str">
        <f t="shared" si="4"/>
        <v>Coinbase|ETHEUR|001</v>
      </c>
      <c r="O14" s="2">
        <f t="shared" si="0"/>
        <v>-8.0099999999999949E-2</v>
      </c>
    </row>
    <row r="15" spans="1:15" x14ac:dyDescent="0.2">
      <c r="A15" t="s">
        <v>13</v>
      </c>
      <c r="B15" t="s">
        <v>16</v>
      </c>
      <c r="C15" t="s">
        <v>10</v>
      </c>
      <c r="D15" s="1">
        <v>45598.472222222219</v>
      </c>
      <c r="E15" s="8">
        <v>91.99</v>
      </c>
      <c r="F15">
        <v>2.8723160000000001E-2</v>
      </c>
      <c r="G15" s="8">
        <v>3306.74</v>
      </c>
      <c r="H15" s="8">
        <v>2.99</v>
      </c>
      <c r="I15" s="8">
        <f t="shared" si="1"/>
        <v>3202.6420491338695</v>
      </c>
      <c r="J15" s="3">
        <f t="shared" si="2"/>
        <v>-3.1480536983896634E-2</v>
      </c>
      <c r="K15">
        <f>SUMIFS($F$2:F15,$A$2:A15,$A15,$B$2:B15,$B15,$C$2:C15,"buy")
 -SUMIFS($F$2:F15,$A$2:A15,$A15,$B$2:B15,$B15,$C$2:C15,"sell")</f>
        <v>0</v>
      </c>
      <c r="L15" s="5">
        <f>COUNTIFS($A$2:A15,$A15,$B$2:B15,$B15,$K$2:K15,0)</f>
        <v>1</v>
      </c>
      <c r="M15" s="9">
        <f t="shared" si="3"/>
        <v>1</v>
      </c>
      <c r="N15" t="str">
        <f t="shared" si="4"/>
        <v>Coinbase|ETHEUR|001</v>
      </c>
      <c r="O15" s="2">
        <f t="shared" si="0"/>
        <v>-8.0099999999999949E-2</v>
      </c>
    </row>
    <row r="16" spans="1:15" x14ac:dyDescent="0.2">
      <c r="A16" t="s">
        <v>11</v>
      </c>
      <c r="B16" t="s">
        <v>16</v>
      </c>
      <c r="C16" t="s">
        <v>8</v>
      </c>
      <c r="D16" s="1">
        <v>45963.470138888886</v>
      </c>
      <c r="E16" s="8">
        <v>100</v>
      </c>
      <c r="F16">
        <v>2.9540460000000001E-2</v>
      </c>
      <c r="G16" s="8">
        <v>3385.16</v>
      </c>
      <c r="I16" s="8">
        <f t="shared" si="1"/>
        <v>3385.1876375655625</v>
      </c>
      <c r="J16" s="3">
        <f t="shared" si="2"/>
        <v>8.1643306557577233E-6</v>
      </c>
      <c r="K16">
        <f>SUMIFS($F$2:F16,$A$2:A16,$A16,$B$2:B16,$B16,$C$2:C16,"buy")
 -SUMIFS($F$2:F16,$A$2:A16,$A16,$B$2:B16,$B16,$C$2:C16,"sell")</f>
        <v>2.9540460000000001E-2</v>
      </c>
      <c r="L16" s="5">
        <f>COUNTIFS($A$2:A16,$A16,$B$2:B16,$B16,$K$2:K16,0)</f>
        <v>0</v>
      </c>
      <c r="M16" s="9">
        <f t="shared" si="3"/>
        <v>1</v>
      </c>
      <c r="N16" t="str">
        <f t="shared" si="4"/>
        <v>Bison|ETHEUR|001</v>
      </c>
      <c r="O16" s="2">
        <f t="shared" si="0"/>
        <v>-2.5600000000000067E-2</v>
      </c>
    </row>
    <row r="17" spans="1:15" x14ac:dyDescent="0.2">
      <c r="A17" t="s">
        <v>11</v>
      </c>
      <c r="B17" t="s">
        <v>16</v>
      </c>
      <c r="C17" t="s">
        <v>10</v>
      </c>
      <c r="D17" s="1">
        <v>45963.472222222219</v>
      </c>
      <c r="E17" s="8">
        <v>97.44</v>
      </c>
      <c r="F17">
        <v>2.9540460000000001E-2</v>
      </c>
      <c r="G17" s="8">
        <v>3298.82</v>
      </c>
      <c r="I17" s="8">
        <f t="shared" si="1"/>
        <v>3298.5268340438838</v>
      </c>
      <c r="J17" s="3">
        <f t="shared" si="2"/>
        <v>-8.8869946258451904E-5</v>
      </c>
      <c r="K17">
        <f>SUMIFS($F$2:F17,$A$2:A17,$A17,$B$2:B17,$B17,$C$2:C17,"buy")
 -SUMIFS($F$2:F17,$A$2:A17,$A17,$B$2:B17,$B17,$C$2:C17,"sell")</f>
        <v>0</v>
      </c>
      <c r="L17" s="5">
        <f>COUNTIFS($A$2:A17,$A17,$B$2:B17,$B17,$K$2:K17,0)</f>
        <v>1</v>
      </c>
      <c r="M17" s="9">
        <f t="shared" si="3"/>
        <v>1</v>
      </c>
      <c r="N17" t="str">
        <f t="shared" si="4"/>
        <v>Bison|ETHEUR|001</v>
      </c>
      <c r="O17" s="2">
        <f t="shared" si="0"/>
        <v>-2.5600000000000067E-2</v>
      </c>
    </row>
    <row r="18" spans="1:15" x14ac:dyDescent="0.2">
      <c r="A18" t="s">
        <v>12</v>
      </c>
      <c r="B18" t="s">
        <v>16</v>
      </c>
      <c r="C18" t="s">
        <v>8</v>
      </c>
      <c r="D18" s="1">
        <v>45963.470138888886</v>
      </c>
      <c r="E18" s="8">
        <v>100</v>
      </c>
      <c r="F18">
        <v>2.910194E-2</v>
      </c>
      <c r="G18" s="8">
        <v>3436.19</v>
      </c>
      <c r="H18" s="8">
        <v>1.51</v>
      </c>
      <c r="I18" s="8">
        <f t="shared" si="1"/>
        <v>3436.1970370360191</v>
      </c>
      <c r="J18" s="3">
        <f t="shared" si="2"/>
        <v>2.0479181939148106E-6</v>
      </c>
      <c r="K18">
        <f>SUMIFS($F$2:F18,$A$2:A18,$A18,$B$2:B18,$B18,$C$2:C18,"buy")
 -SUMIFS($F$2:F18,$A$2:A18,$A18,$B$2:B18,$B18,$C$2:C18,"sell")</f>
        <v>2.910194E-2</v>
      </c>
      <c r="L18" s="5">
        <f>COUNTIFS($A$2:A18,$A18,$B$2:B18,$B18,$K$2:K18,0)</f>
        <v>0</v>
      </c>
      <c r="M18" s="9">
        <f t="shared" si="3"/>
        <v>1</v>
      </c>
      <c r="N18" t="str">
        <f t="shared" si="4"/>
        <v>Bitpanda|ETHEUR|001</v>
      </c>
      <c r="O18" s="2">
        <f t="shared" ref="O18:O19" si="5">IFERROR(_xlfn.MAXIFS($I:$I,$N:$N,$N18,$C:$C,"sell")/_xlfn.MINIFS($I:$I,$N:$N,$N18,$C:$C,"buy") - 1,"")</f>
        <v>-6.5200000000000036E-2</v>
      </c>
    </row>
    <row r="19" spans="1:15" x14ac:dyDescent="0.2">
      <c r="A19" t="s">
        <v>12</v>
      </c>
      <c r="B19" t="s">
        <v>16</v>
      </c>
      <c r="C19" t="s">
        <v>10</v>
      </c>
      <c r="D19" s="1">
        <v>45963.472222222219</v>
      </c>
      <c r="E19" s="8">
        <v>93.48</v>
      </c>
      <c r="F19">
        <v>2.910194E-2</v>
      </c>
      <c r="G19" s="8">
        <v>3260.35</v>
      </c>
      <c r="H19" s="8">
        <v>1.4</v>
      </c>
      <c r="I19" s="8">
        <f t="shared" si="1"/>
        <v>3212.1569902212705</v>
      </c>
      <c r="J19" s="3">
        <f t="shared" si="2"/>
        <v>-1.4781544858291085E-2</v>
      </c>
      <c r="K19">
        <f>SUMIFS($F$2:F19,$A$2:A19,$A19,$B$2:B19,$B19,$C$2:C19,"buy")
 -SUMIFS($F$2:F19,$A$2:A19,$A19,$B$2:B19,$B19,$C$2:C19,"sell")</f>
        <v>0</v>
      </c>
      <c r="L19" s="5">
        <f>COUNTIFS($A$2:A19,$A19,$B$2:B19,$B19,$K$2:K19,0)</f>
        <v>1</v>
      </c>
      <c r="M19" s="9">
        <f t="shared" si="3"/>
        <v>1</v>
      </c>
      <c r="N19" t="str">
        <f t="shared" si="4"/>
        <v>Bitpanda|ETHEUR|001</v>
      </c>
      <c r="O19" s="2">
        <f t="shared" si="5"/>
        <v>-6.5200000000000036E-2</v>
      </c>
    </row>
    <row r="20" spans="1:15" x14ac:dyDescent="0.2">
      <c r="A20" t="s">
        <v>14</v>
      </c>
      <c r="B20" t="s">
        <v>16</v>
      </c>
      <c r="C20" t="s">
        <v>8</v>
      </c>
      <c r="D20" s="1">
        <v>45963.470138888886</v>
      </c>
      <c r="E20" s="8">
        <v>100.35</v>
      </c>
      <c r="F20">
        <v>2.9908778E-2</v>
      </c>
      <c r="G20" s="8">
        <v>3343.5</v>
      </c>
      <c r="H20" s="8">
        <v>0.35</v>
      </c>
      <c r="I20" s="8">
        <f t="shared" ref="I20:I66" si="6">E20/F20</f>
        <v>3355.2022753988808</v>
      </c>
      <c r="J20" s="3">
        <f t="shared" si="2"/>
        <v>3.5000075964950472E-3</v>
      </c>
      <c r="K20">
        <f>SUMIFS($F$2:F20,$A$2:A20,$A20,$B$2:B20,$B20,$C$2:C20,"buy")
 -SUMIFS($F$2:F20,$A$2:A20,$A20,$B$2:B20,$B20,$C$2:C20,"sell")</f>
        <v>2.9908778E-2</v>
      </c>
      <c r="L20" s="5">
        <f>COUNTIFS($A$2:A20,$A20,$B$2:B20,$B20,$K$2:K20,0)</f>
        <v>0</v>
      </c>
      <c r="M20" s="9">
        <f t="shared" si="3"/>
        <v>1</v>
      </c>
      <c r="N20" t="str">
        <f t="shared" si="4"/>
        <v>BSDEX|ETHEUR|001</v>
      </c>
      <c r="O20" s="2">
        <f t="shared" ref="O20:O37" si="7">IFERROR(_xlfn.MAXIFS($I:$I,$N:$N,$N20,$C:$C,"sell")/_xlfn.MINIFS($I:$I,$N:$N,$N20,$C:$C,"buy") - 1,"")</f>
        <v>-8.0717488789235903E-3</v>
      </c>
    </row>
    <row r="21" spans="1:15" x14ac:dyDescent="0.2">
      <c r="A21" t="s">
        <v>14</v>
      </c>
      <c r="B21" t="s">
        <v>16</v>
      </c>
      <c r="C21" t="s">
        <v>10</v>
      </c>
      <c r="D21" s="1">
        <v>45963.472222222219</v>
      </c>
      <c r="E21" s="8">
        <f>99.89-H21</f>
        <v>99.54</v>
      </c>
      <c r="F21">
        <v>2.9908778E-2</v>
      </c>
      <c r="G21" s="8">
        <v>3339.69</v>
      </c>
      <c r="H21" s="8">
        <v>0.35</v>
      </c>
      <c r="I21" s="8">
        <f t="shared" si="6"/>
        <v>3328.1199251938679</v>
      </c>
      <c r="J21" s="3">
        <f t="shared" si="2"/>
        <v>-3.4644158009072834E-3</v>
      </c>
      <c r="K21">
        <f>SUMIFS($F$2:F21,$A$2:A21,$A21,$B$2:B21,$B21,$C$2:C21,"buy")
 -SUMIFS($F$2:F21,$A$2:A21,$A21,$B$2:B21,$B21,$C$2:C21,"sell")</f>
        <v>0</v>
      </c>
      <c r="L21" s="5">
        <f>COUNTIFS($A$2:A21,$A21,$B$2:B21,$B21,$K$2:K21,0)</f>
        <v>1</v>
      </c>
      <c r="M21" s="9">
        <f t="shared" si="3"/>
        <v>1</v>
      </c>
      <c r="N21" t="str">
        <f t="shared" si="4"/>
        <v>BSDEX|ETHEUR|001</v>
      </c>
      <c r="O21" s="2">
        <f t="shared" si="7"/>
        <v>-8.0717488789235903E-3</v>
      </c>
    </row>
    <row r="22" spans="1:15" x14ac:dyDescent="0.2">
      <c r="A22" t="s">
        <v>15</v>
      </c>
      <c r="B22" t="s">
        <v>16</v>
      </c>
      <c r="C22" t="s">
        <v>8</v>
      </c>
      <c r="D22" s="1">
        <v>45963.470138888886</v>
      </c>
      <c r="E22" s="8">
        <v>100</v>
      </c>
      <c r="F22">
        <v>2.9112829999999999E-2</v>
      </c>
      <c r="G22" s="8">
        <v>3400.9</v>
      </c>
      <c r="H22" s="8">
        <v>0.99</v>
      </c>
      <c r="I22" s="8">
        <f t="shared" si="6"/>
        <v>3434.9116867030789</v>
      </c>
      <c r="J22" s="3">
        <f t="shared" si="2"/>
        <v>1.0000789997670845E-2</v>
      </c>
      <c r="K22">
        <f>SUMIFS($F$2:F22,$A$2:A22,$A22,$B$2:B22,$B22,$C$2:C22,"buy")
 -SUMIFS($F$2:F22,$A$2:A22,$A22,$B$2:B22,$B22,$C$2:C22,"sell")</f>
        <v>2.9112829999999999E-2</v>
      </c>
      <c r="L22" s="5">
        <f>COUNTIFS($A$2:A22,$A22,$B$2:B22,$B22,$K$2:K22,0)</f>
        <v>0</v>
      </c>
      <c r="M22" s="9">
        <f t="shared" si="3"/>
        <v>1</v>
      </c>
      <c r="N22" t="str">
        <f t="shared" si="4"/>
        <v>Kraken|ETHEUR|001</v>
      </c>
      <c r="O22" s="2">
        <f t="shared" si="7"/>
        <v>-5.3400000000000003E-2</v>
      </c>
    </row>
    <row r="23" spans="1:15" x14ac:dyDescent="0.2">
      <c r="A23" t="s">
        <v>15</v>
      </c>
      <c r="B23" t="s">
        <v>16</v>
      </c>
      <c r="C23" t="s">
        <v>10</v>
      </c>
      <c r="D23" s="1">
        <v>45963.472222222219</v>
      </c>
      <c r="E23" s="8">
        <v>94.66</v>
      </c>
      <c r="F23">
        <v>2.9112829999999999E-2</v>
      </c>
      <c r="G23" s="8">
        <v>3283.96</v>
      </c>
      <c r="H23" s="8">
        <v>0.95</v>
      </c>
      <c r="I23" s="8">
        <f t="shared" si="6"/>
        <v>3251.4874026331345</v>
      </c>
      <c r="J23" s="3">
        <f t="shared" si="2"/>
        <v>-9.8882438783862714E-3</v>
      </c>
      <c r="K23">
        <f>SUMIFS($F$2:F23,$A$2:A23,$A23,$B$2:B23,$B23,$C$2:C23,"buy")
 -SUMIFS($F$2:F23,$A$2:A23,$A23,$B$2:B23,$B23,$C$2:C23,"sell")</f>
        <v>0</v>
      </c>
      <c r="L23" s="5">
        <f>COUNTIFS($A$2:A23,$A23,$B$2:B23,$B23,$K$2:K23,0)</f>
        <v>1</v>
      </c>
      <c r="M23" s="9">
        <f t="shared" si="3"/>
        <v>1</v>
      </c>
      <c r="N23" t="str">
        <f t="shared" si="4"/>
        <v>Kraken|ETHEUR|001</v>
      </c>
      <c r="O23" s="2">
        <f t="shared" si="7"/>
        <v>-5.3400000000000003E-2</v>
      </c>
    </row>
    <row r="24" spans="1:15" x14ac:dyDescent="0.2">
      <c r="A24" t="s">
        <v>6</v>
      </c>
      <c r="B24" t="s">
        <v>16</v>
      </c>
      <c r="C24" t="s">
        <v>8</v>
      </c>
      <c r="D24" s="1">
        <v>45963.470138888886</v>
      </c>
      <c r="E24" s="8">
        <v>100</v>
      </c>
      <c r="F24">
        <v>2.9836680000000001E-2</v>
      </c>
      <c r="G24" s="8">
        <v>3343</v>
      </c>
      <c r="H24" s="8">
        <v>0.25</v>
      </c>
      <c r="I24" s="8">
        <f t="shared" si="6"/>
        <v>3351.5793312124538</v>
      </c>
      <c r="J24" s="3">
        <f t="shared" si="2"/>
        <v>2.5663569286431542E-3</v>
      </c>
      <c r="K24">
        <f>SUMIFS($F$2:F24,$A$2:A24,$A24,$B$2:B24,$B24,$C$2:C24,"buy")
 -SUMIFS($F$2:F24,$A$2:A24,$A24,$B$2:B24,$B24,$C$2:C24,"sell")</f>
        <v>2.9836680000000001E-2</v>
      </c>
      <c r="L24" s="5">
        <f>COUNTIFS($A$2:A24,$A24,$B$2:B24,$B24,$K$2:K24,0)</f>
        <v>0</v>
      </c>
      <c r="M24" s="9">
        <f t="shared" si="3"/>
        <v>1</v>
      </c>
      <c r="N24" t="str">
        <f t="shared" si="4"/>
        <v>Bitvavo|ETHEUR|001</v>
      </c>
      <c r="O24" s="2">
        <f t="shared" si="7"/>
        <v>-5.5999999999999384E-3</v>
      </c>
    </row>
    <row r="25" spans="1:15" x14ac:dyDescent="0.2">
      <c r="A25" t="s">
        <v>6</v>
      </c>
      <c r="B25" t="s">
        <v>16</v>
      </c>
      <c r="C25" t="s">
        <v>10</v>
      </c>
      <c r="D25" s="1">
        <v>45963.472222222219</v>
      </c>
      <c r="E25" s="8">
        <v>99.44</v>
      </c>
      <c r="F25">
        <v>2.9836680000000001E-2</v>
      </c>
      <c r="G25" s="8">
        <v>3341.4</v>
      </c>
      <c r="H25" s="8">
        <v>0.25</v>
      </c>
      <c r="I25" s="8">
        <f t="shared" si="6"/>
        <v>3332.8104869576641</v>
      </c>
      <c r="J25" s="3">
        <f t="shared" si="2"/>
        <v>-2.5706329808869999E-3</v>
      </c>
      <c r="K25">
        <f>SUMIFS($F$2:F25,$A$2:A25,$A25,$B$2:B25,$B25,$C$2:C25,"buy")
 -SUMIFS($F$2:F25,$A$2:A25,$A25,$B$2:B25,$B25,$C$2:C25,"sell")</f>
        <v>0</v>
      </c>
      <c r="L25" s="5">
        <f>COUNTIFS($A$2:A25,$A25,$B$2:B25,$B25,$K$2:K25,0)</f>
        <v>1</v>
      </c>
      <c r="M25" s="9">
        <f t="shared" si="3"/>
        <v>1</v>
      </c>
      <c r="N25" t="str">
        <f t="shared" si="4"/>
        <v>Bitvavo|ETHEUR|001</v>
      </c>
      <c r="O25" s="2">
        <f t="shared" si="7"/>
        <v>-5.5999999999999384E-3</v>
      </c>
    </row>
    <row r="26" spans="1:15" x14ac:dyDescent="0.2">
      <c r="A26" t="s">
        <v>11</v>
      </c>
      <c r="B26" t="s">
        <v>17</v>
      </c>
      <c r="C26" t="s">
        <v>8</v>
      </c>
      <c r="D26" s="1">
        <v>45966.445138888892</v>
      </c>
      <c r="E26" s="8">
        <v>100</v>
      </c>
      <c r="F26">
        <v>7.6680365100000003</v>
      </c>
      <c r="G26" s="8">
        <v>13.04</v>
      </c>
      <c r="I26" s="8">
        <f t="shared" si="6"/>
        <v>13.041148130892246</v>
      </c>
      <c r="J26" s="3">
        <f t="shared" si="2"/>
        <v>8.8046847565026454E-5</v>
      </c>
      <c r="K26">
        <f>SUMIFS($F$2:F26,$A$2:A26,$A26,$B$2:B26,$B26,$C$2:C26,"buy")
 -SUMIFS($F$2:F26,$A$2:A26,$A26,$B$2:B26,$B26,$C$2:C26,"sell")</f>
        <v>7.6680365100000003</v>
      </c>
      <c r="L26" s="5">
        <f>COUNTIFS($A$2:A26,$A26,$B$2:B26,$B26,$K$2:K26,0)</f>
        <v>0</v>
      </c>
      <c r="M26" s="9">
        <f t="shared" si="3"/>
        <v>1</v>
      </c>
      <c r="N26" t="str">
        <f t="shared" si="4"/>
        <v>Bison|LINKEUR|001</v>
      </c>
      <c r="O26" s="2">
        <f t="shared" si="7"/>
        <v>-2.6300000000000101E-2</v>
      </c>
    </row>
    <row r="27" spans="1:15" x14ac:dyDescent="0.2">
      <c r="A27" t="s">
        <v>11</v>
      </c>
      <c r="B27" t="s">
        <v>17</v>
      </c>
      <c r="C27" t="s">
        <v>10</v>
      </c>
      <c r="D27" s="1">
        <v>45966.447916666664</v>
      </c>
      <c r="E27" s="8">
        <v>97.37</v>
      </c>
      <c r="F27">
        <v>7.6680365100000003</v>
      </c>
      <c r="G27" s="8">
        <v>12.7</v>
      </c>
      <c r="I27" s="8">
        <f t="shared" si="6"/>
        <v>12.698165935049779</v>
      </c>
      <c r="J27" s="3">
        <f t="shared" si="2"/>
        <v>-1.4441456300939848E-4</v>
      </c>
      <c r="K27">
        <f>SUMIFS($F$2:F27,$A$2:A27,$A27,$B$2:B27,$B27,$C$2:C27,"buy")
 -SUMIFS($F$2:F27,$A$2:A27,$A27,$B$2:B27,$B27,$C$2:C27,"sell")</f>
        <v>0</v>
      </c>
      <c r="L27" s="5">
        <f>COUNTIFS($A$2:A27,$A27,$B$2:B27,$B27,$K$2:K27,0)</f>
        <v>1</v>
      </c>
      <c r="M27" s="9">
        <f t="shared" si="3"/>
        <v>1</v>
      </c>
      <c r="N27" t="str">
        <f t="shared" si="4"/>
        <v>Bison|LINKEUR|001</v>
      </c>
      <c r="O27" s="2">
        <f t="shared" si="7"/>
        <v>-2.6300000000000101E-2</v>
      </c>
    </row>
    <row r="28" spans="1:15" x14ac:dyDescent="0.2">
      <c r="A28" t="s">
        <v>12</v>
      </c>
      <c r="B28" t="s">
        <v>17</v>
      </c>
      <c r="C28" t="s">
        <v>8</v>
      </c>
      <c r="D28" s="1">
        <v>45966.445138888892</v>
      </c>
      <c r="E28" s="8">
        <v>100</v>
      </c>
      <c r="F28">
        <v>7.5035519500000003</v>
      </c>
      <c r="G28" s="8">
        <v>13.327</v>
      </c>
      <c r="H28" s="8">
        <v>1.52</v>
      </c>
      <c r="I28" s="8">
        <f t="shared" si="6"/>
        <v>13.327021744681863</v>
      </c>
      <c r="J28" s="3">
        <f t="shared" si="2"/>
        <v>1.6316261621796002E-6</v>
      </c>
      <c r="K28">
        <f>SUMIFS($F$2:F28,$A$2:A28,$A28,$B$2:B28,$B28,$C$2:C28,"buy")
 -SUMIFS($F$2:F28,$A$2:A28,$A28,$B$2:B28,$B28,$C$2:C28,"sell")</f>
        <v>7.5035519500000003</v>
      </c>
      <c r="L28" s="5">
        <f>COUNTIFS($A$2:A28,$A28,$B$2:B28,$B28,$K$2:K28,0)</f>
        <v>0</v>
      </c>
      <c r="M28" s="9">
        <f t="shared" si="3"/>
        <v>1</v>
      </c>
      <c r="N28" t="str">
        <f t="shared" si="4"/>
        <v>Bitpanda|LINKEUR|001</v>
      </c>
      <c r="O28" s="2">
        <f t="shared" si="7"/>
        <v>-7.680000000000009E-2</v>
      </c>
    </row>
    <row r="29" spans="1:15" x14ac:dyDescent="0.2">
      <c r="A29" t="s">
        <v>12</v>
      </c>
      <c r="B29" t="s">
        <v>17</v>
      </c>
      <c r="C29" t="s">
        <v>10</v>
      </c>
      <c r="D29" s="1">
        <v>45966.447916666664</v>
      </c>
      <c r="E29" s="8">
        <v>92.32</v>
      </c>
      <c r="F29">
        <v>7.5035519500000003</v>
      </c>
      <c r="G29" s="8">
        <v>12.487500000000001</v>
      </c>
      <c r="H29" s="8">
        <v>1.38</v>
      </c>
      <c r="I29" s="8">
        <f t="shared" si="6"/>
        <v>12.303506474690295</v>
      </c>
      <c r="J29" s="3">
        <f t="shared" si="2"/>
        <v>-1.473421624101745E-2</v>
      </c>
      <c r="K29">
        <f>SUMIFS($F$2:F29,$A$2:A29,$A29,$B$2:B29,$B29,$C$2:C29,"buy")
 -SUMIFS($F$2:F29,$A$2:A29,$A29,$B$2:B29,$B29,$C$2:C29,"sell")</f>
        <v>0</v>
      </c>
      <c r="L29" s="5">
        <f>COUNTIFS($A$2:A29,$A29,$B$2:B29,$B29,$K$2:K29,0)</f>
        <v>1</v>
      </c>
      <c r="M29" s="9">
        <f t="shared" si="3"/>
        <v>1</v>
      </c>
      <c r="N29" t="str">
        <f t="shared" si="4"/>
        <v>Bitpanda|LINKEUR|001</v>
      </c>
      <c r="O29" s="2">
        <f t="shared" si="7"/>
        <v>-7.680000000000009E-2</v>
      </c>
    </row>
    <row r="30" spans="1:15" x14ac:dyDescent="0.2">
      <c r="A30" t="s">
        <v>13</v>
      </c>
      <c r="B30" t="s">
        <v>17</v>
      </c>
      <c r="C30" t="s">
        <v>8</v>
      </c>
      <c r="D30" s="1">
        <v>45966.445138888892</v>
      </c>
      <c r="E30" s="8">
        <v>100</v>
      </c>
      <c r="F30">
        <v>7.4565139800000004</v>
      </c>
      <c r="G30" s="8">
        <v>13.01</v>
      </c>
      <c r="H30" s="8">
        <v>2.99</v>
      </c>
      <c r="I30" s="8">
        <f t="shared" si="6"/>
        <v>13.411092672557423</v>
      </c>
      <c r="J30" s="3">
        <f t="shared" si="2"/>
        <v>3.0829567452530515E-2</v>
      </c>
      <c r="K30">
        <f>SUMIFS($F$2:F30,$A$2:A30,$A30,$B$2:B30,$B30,$C$2:C30,"buy")
 -SUMIFS($F$2:F30,$A$2:A30,$A30,$B$2:B30,$B30,$C$2:C30,"sell")</f>
        <v>7.4565139800000004</v>
      </c>
      <c r="L30" s="5">
        <f>COUNTIFS($A$2:A30,$A30,$B$2:B30,$B30,$K$2:K30,0)</f>
        <v>0</v>
      </c>
      <c r="M30" s="9">
        <f t="shared" si="3"/>
        <v>1</v>
      </c>
      <c r="N30" t="str">
        <f t="shared" si="4"/>
        <v>Coinbase|LINKEUR|001</v>
      </c>
      <c r="O30" s="2">
        <f t="shared" si="7"/>
        <v>-7.9200000000000048E-2</v>
      </c>
    </row>
    <row r="31" spans="1:15" x14ac:dyDescent="0.2">
      <c r="A31" t="s">
        <v>13</v>
      </c>
      <c r="B31" t="s">
        <v>17</v>
      </c>
      <c r="C31" t="s">
        <v>10</v>
      </c>
      <c r="D31" s="1">
        <v>45966.451388888891</v>
      </c>
      <c r="E31" s="8">
        <v>92.08</v>
      </c>
      <c r="F31">
        <v>7.4565139800000004</v>
      </c>
      <c r="G31" s="8">
        <v>12.75</v>
      </c>
      <c r="H31" s="8">
        <v>2.99</v>
      </c>
      <c r="I31" s="8">
        <f t="shared" si="6"/>
        <v>12.348934132890875</v>
      </c>
      <c r="J31" s="3">
        <f t="shared" si="2"/>
        <v>-3.1456146439931332E-2</v>
      </c>
      <c r="K31">
        <f>SUMIFS($F$2:F31,$A$2:A31,$A31,$B$2:B31,$B31,$C$2:C31,"buy")
 -SUMIFS($F$2:F31,$A$2:A31,$A31,$B$2:B31,$B31,$C$2:C31,"sell")</f>
        <v>0</v>
      </c>
      <c r="L31" s="5">
        <f>COUNTIFS($A$2:A31,$A31,$B$2:B31,$B31,$K$2:K31,0)</f>
        <v>1</v>
      </c>
      <c r="M31" s="9">
        <f t="shared" si="3"/>
        <v>1</v>
      </c>
      <c r="N31" t="str">
        <f t="shared" si="4"/>
        <v>Coinbase|LINKEUR|001</v>
      </c>
      <c r="O31" s="2">
        <f t="shared" si="7"/>
        <v>-7.9200000000000048E-2</v>
      </c>
    </row>
    <row r="32" spans="1:15" x14ac:dyDescent="0.2">
      <c r="A32" t="s">
        <v>14</v>
      </c>
      <c r="B32" t="s">
        <v>17</v>
      </c>
      <c r="C32" t="s">
        <v>8</v>
      </c>
      <c r="D32" s="1">
        <v>45966.445138888892</v>
      </c>
      <c r="E32" s="8">
        <v>100.35</v>
      </c>
      <c r="F32">
        <v>7.7535007050000004</v>
      </c>
      <c r="G32" s="8">
        <v>12.9</v>
      </c>
      <c r="H32" s="8">
        <v>0.35</v>
      </c>
      <c r="I32" s="8">
        <f t="shared" si="6"/>
        <v>12.942540900949075</v>
      </c>
      <c r="J32" s="3">
        <f t="shared" si="2"/>
        <v>3.2977442596182627E-3</v>
      </c>
      <c r="K32">
        <f>SUMIFS($F$2:F32,$A$2:A32,$A32,$B$2:B32,$B32,$C$2:C32,"buy")
 -SUMIFS($F$2:F32,$A$2:A32,$A32,$B$2:B32,$B32,$C$2:C32,"sell")</f>
        <v>7.7535007050000004</v>
      </c>
      <c r="L32" s="5">
        <f>COUNTIFS($A$2:A32,$A32,$B$2:B32,$B32,$K$2:K32,0)</f>
        <v>0</v>
      </c>
      <c r="M32" s="9">
        <f t="shared" si="3"/>
        <v>1</v>
      </c>
      <c r="N32" t="str">
        <f t="shared" si="4"/>
        <v>BSDEX|LINKEUR|001</v>
      </c>
      <c r="O32" s="2">
        <f t="shared" si="7"/>
        <v>-1.1659192825111964E-2</v>
      </c>
    </row>
    <row r="33" spans="1:15" x14ac:dyDescent="0.2">
      <c r="A33" t="s">
        <v>14</v>
      </c>
      <c r="B33" t="s">
        <v>17</v>
      </c>
      <c r="C33" t="s">
        <v>10</v>
      </c>
      <c r="D33" s="1">
        <v>45966.447916666664</v>
      </c>
      <c r="E33" s="8">
        <f>99.53-H33</f>
        <v>99.18</v>
      </c>
      <c r="F33">
        <v>7.7535007050000004</v>
      </c>
      <c r="G33" s="8">
        <v>12.84</v>
      </c>
      <c r="H33" s="8">
        <v>0.35</v>
      </c>
      <c r="I33" s="8">
        <f t="shared" si="6"/>
        <v>12.791641320938011</v>
      </c>
      <c r="J33" s="3">
        <f t="shared" si="2"/>
        <v>-3.7662522633947759E-3</v>
      </c>
      <c r="K33">
        <f>SUMIFS($F$2:F33,$A$2:A33,$A33,$B$2:B33,$B33,$C$2:C33,"buy")
 -SUMIFS($F$2:F33,$A$2:A33,$A33,$B$2:B33,$B33,$C$2:C33,"sell")</f>
        <v>0</v>
      </c>
      <c r="L33" s="5">
        <f>COUNTIFS($A$2:A33,$A33,$B$2:B33,$B33,$K$2:K33,0)</f>
        <v>1</v>
      </c>
      <c r="M33" s="9">
        <f t="shared" si="3"/>
        <v>1</v>
      </c>
      <c r="N33" t="str">
        <f t="shared" si="4"/>
        <v>BSDEX|LINKEUR|001</v>
      </c>
      <c r="O33" s="2">
        <f t="shared" si="7"/>
        <v>-1.1659192825111964E-2</v>
      </c>
    </row>
    <row r="34" spans="1:15" x14ac:dyDescent="0.2">
      <c r="A34" t="s">
        <v>15</v>
      </c>
      <c r="B34" t="s">
        <v>17</v>
      </c>
      <c r="C34" t="s">
        <v>8</v>
      </c>
      <c r="D34" s="1">
        <v>45966.445138888892</v>
      </c>
      <c r="E34" s="8">
        <v>100</v>
      </c>
      <c r="F34">
        <v>7.5149299999999997</v>
      </c>
      <c r="G34" s="8">
        <v>13.18</v>
      </c>
      <c r="H34" s="8">
        <v>0.99</v>
      </c>
      <c r="I34" s="8">
        <f t="shared" si="6"/>
        <v>13.30684384285682</v>
      </c>
      <c r="J34" s="3">
        <f t="shared" si="2"/>
        <v>9.6239637979378401E-3</v>
      </c>
      <c r="K34">
        <f>SUMIFS($F$2:F34,$A$2:A34,$A34,$B$2:B34,$B34,$C$2:C34,"buy")
 -SUMIFS($F$2:F34,$A$2:A34,$A34,$B$2:B34,$B34,$C$2:C34,"sell")</f>
        <v>7.5149299999999997</v>
      </c>
      <c r="L34" s="5">
        <f>COUNTIFS($A$2:A34,$A34,$B$2:B34,$B34,$K$2:K34,0)</f>
        <v>0</v>
      </c>
      <c r="M34" s="9">
        <f t="shared" si="3"/>
        <v>1</v>
      </c>
      <c r="N34" t="str">
        <f t="shared" si="4"/>
        <v>Kraken|LINKEUR|001</v>
      </c>
      <c r="O34" s="2">
        <f t="shared" si="7"/>
        <v>-6.5500000000000003E-2</v>
      </c>
    </row>
    <row r="35" spans="1:15" x14ac:dyDescent="0.2">
      <c r="A35" t="s">
        <v>15</v>
      </c>
      <c r="B35" t="s">
        <v>17</v>
      </c>
      <c r="C35" t="s">
        <v>10</v>
      </c>
      <c r="D35" s="1">
        <v>45966.447916666664</v>
      </c>
      <c r="E35" s="8">
        <v>93.45</v>
      </c>
      <c r="F35">
        <v>7.5149299999999997</v>
      </c>
      <c r="G35" s="8">
        <v>12.56</v>
      </c>
      <c r="H35" s="8">
        <v>0.93</v>
      </c>
      <c r="I35" s="8">
        <f t="shared" si="6"/>
        <v>12.435245571149698</v>
      </c>
      <c r="J35" s="3">
        <f t="shared" si="2"/>
        <v>-9.9326774562342734E-3</v>
      </c>
      <c r="K35">
        <f>SUMIFS($F$2:F35,$A$2:A35,$A35,$B$2:B35,$B35,$C$2:C35,"buy")
 -SUMIFS($F$2:F35,$A$2:A35,$A35,$B$2:B35,$B35,$C$2:C35,"sell")</f>
        <v>0</v>
      </c>
      <c r="L35" s="5">
        <f>COUNTIFS($A$2:A35,$A35,$B$2:B35,$B35,$K$2:K35,0)</f>
        <v>1</v>
      </c>
      <c r="M35" s="9">
        <f t="shared" si="3"/>
        <v>1</v>
      </c>
      <c r="N35" t="str">
        <f t="shared" si="4"/>
        <v>Kraken|LINKEUR|001</v>
      </c>
      <c r="O35" s="2">
        <f t="shared" si="7"/>
        <v>-6.5500000000000003E-2</v>
      </c>
    </row>
    <row r="36" spans="1:15" x14ac:dyDescent="0.2">
      <c r="A36" t="s">
        <v>6</v>
      </c>
      <c r="B36" t="s">
        <v>17</v>
      </c>
      <c r="C36" t="s">
        <v>8</v>
      </c>
      <c r="D36" s="1">
        <v>45966.445138888892</v>
      </c>
      <c r="E36" s="8">
        <v>100</v>
      </c>
      <c r="F36">
        <v>7.7445652100000002</v>
      </c>
      <c r="G36" s="8">
        <v>12.88</v>
      </c>
      <c r="H36" s="8">
        <v>0.25</v>
      </c>
      <c r="I36" s="8">
        <f t="shared" si="6"/>
        <v>12.912280714077685</v>
      </c>
      <c r="J36" s="3">
        <f t="shared" si="2"/>
        <v>2.5062666209381135E-3</v>
      </c>
      <c r="K36">
        <f>SUMIFS($F$2:F36,$A$2:A36,$A36,$B$2:B36,$B36,$C$2:C36,"buy")
 -SUMIFS($F$2:F36,$A$2:A36,$A36,$B$2:B36,$B36,$C$2:C36,"sell")</f>
        <v>7.7445652100000002</v>
      </c>
      <c r="L36" s="5">
        <f>COUNTIFS($A$2:A36,$A36,$B$2:B36,$B36,$K$2:K36,0)</f>
        <v>0</v>
      </c>
      <c r="M36" s="9">
        <f t="shared" si="3"/>
        <v>1</v>
      </c>
      <c r="N36" t="str">
        <f t="shared" si="4"/>
        <v>Bitvavo|LINKEUR|001</v>
      </c>
      <c r="O36" s="2">
        <f t="shared" si="7"/>
        <v>-6.2999999999999723E-3</v>
      </c>
    </row>
    <row r="37" spans="1:15" x14ac:dyDescent="0.2">
      <c r="A37" t="s">
        <v>6</v>
      </c>
      <c r="B37" t="s">
        <v>17</v>
      </c>
      <c r="C37" t="s">
        <v>10</v>
      </c>
      <c r="D37" s="1">
        <v>45966.447916666664</v>
      </c>
      <c r="E37" s="8">
        <v>99.37</v>
      </c>
      <c r="F37">
        <v>7.7445652100000002</v>
      </c>
      <c r="G37" s="8">
        <v>12.864000000000001</v>
      </c>
      <c r="H37" s="8">
        <v>0.26</v>
      </c>
      <c r="I37" s="8">
        <f t="shared" si="6"/>
        <v>12.830933345578996</v>
      </c>
      <c r="J37" s="3">
        <f t="shared" si="2"/>
        <v>-2.5704799767571895E-3</v>
      </c>
      <c r="K37">
        <f>SUMIFS($F$2:F37,$A$2:A37,$A37,$B$2:B37,$B37,$C$2:C37,"buy")
 -SUMIFS($F$2:F37,$A$2:A37,$A37,$B$2:B37,$B37,$C$2:C37,"sell")</f>
        <v>0</v>
      </c>
      <c r="L37" s="5">
        <f>COUNTIFS($A$2:A37,$A37,$B$2:B37,$B37,$K$2:K37,0)</f>
        <v>1</v>
      </c>
      <c r="M37" s="9">
        <f t="shared" si="3"/>
        <v>1</v>
      </c>
      <c r="N37" t="str">
        <f t="shared" si="4"/>
        <v>Bitvavo|LINKEUR|001</v>
      </c>
      <c r="O37" s="2">
        <f t="shared" si="7"/>
        <v>-6.2999999999999723E-3</v>
      </c>
    </row>
    <row r="38" spans="1:15" x14ac:dyDescent="0.2">
      <c r="A38" t="s">
        <v>11</v>
      </c>
      <c r="B38" t="s">
        <v>7</v>
      </c>
      <c r="C38" t="s">
        <v>8</v>
      </c>
      <c r="D38" s="1">
        <v>45967.62777777778</v>
      </c>
      <c r="E38" s="8">
        <v>100</v>
      </c>
      <c r="F38">
        <v>1.1005100000000001E-3</v>
      </c>
      <c r="G38" s="8">
        <v>90866.51</v>
      </c>
      <c r="I38" s="8">
        <f t="shared" si="6"/>
        <v>90866.961681402259</v>
      </c>
      <c r="J38" s="3">
        <f t="shared" si="2"/>
        <v>4.9708237090939633E-6</v>
      </c>
      <c r="K38">
        <f>SUMIFS($F$2:F38,$A$2:A38,$A38,$B$2:B38,$B38,$C$2:C38,"buy")
 -SUMIFS($F$2:F38,$A$2:A38,$A38,$B$2:B38,$B38,$C$2:C38,"sell")</f>
        <v>1.1005099999999999E-3</v>
      </c>
      <c r="L38" s="5">
        <f>COUNTIFS($A$2:A38,$A38,$B$2:B38,$B38,$K$2:K38,0)</f>
        <v>1</v>
      </c>
      <c r="M38" s="9">
        <f t="shared" si="3"/>
        <v>2</v>
      </c>
      <c r="N38" t="str">
        <f t="shared" si="4"/>
        <v>Bison|BTCEUR|002</v>
      </c>
      <c r="O38" s="2">
        <f t="shared" ref="O38:O101" si="8">IFERROR(_xlfn.MAXIFS($I:$I,$N:$N,$N38,$C:$C,"sell")/_xlfn.MINIFS($I:$I,$N:$N,$N38,$C:$C,"buy") - 1,"")</f>
        <v>-3.0200000000000005E-2</v>
      </c>
    </row>
    <row r="39" spans="1:15" x14ac:dyDescent="0.2">
      <c r="A39" t="s">
        <v>11</v>
      </c>
      <c r="B39" t="s">
        <v>7</v>
      </c>
      <c r="C39" t="s">
        <v>10</v>
      </c>
      <c r="D39" s="1">
        <v>45967.630555555559</v>
      </c>
      <c r="E39" s="8">
        <v>96.98</v>
      </c>
      <c r="F39">
        <v>1.1005100000000001E-3</v>
      </c>
      <c r="G39" s="8">
        <v>88124.18</v>
      </c>
      <c r="I39" s="8">
        <f t="shared" si="6"/>
        <v>88122.779438623911</v>
      </c>
      <c r="J39" s="3">
        <f t="shared" si="2"/>
        <v>-1.5893042931924839E-5</v>
      </c>
      <c r="K39">
        <f>SUMIFS($F$2:F39,$A$2:A39,$A39,$B$2:B39,$B39,$C$2:C39,"buy")
 -SUMIFS($F$2:F39,$A$2:A39,$A39,$B$2:B39,$B39,$C$2:C39,"sell")</f>
        <v>0</v>
      </c>
      <c r="L39" s="5">
        <f>COUNTIFS($A$2:A39,$A39,$B$2:B39,$B39,$K$2:K39,0)</f>
        <v>2</v>
      </c>
      <c r="M39" s="9">
        <f t="shared" si="3"/>
        <v>2</v>
      </c>
      <c r="N39" t="str">
        <f t="shared" si="4"/>
        <v>Bison|BTCEUR|002</v>
      </c>
      <c r="O39" s="2">
        <f t="shared" si="8"/>
        <v>-3.0200000000000005E-2</v>
      </c>
    </row>
    <row r="40" spans="1:15" x14ac:dyDescent="0.2">
      <c r="A40" t="s">
        <v>12</v>
      </c>
      <c r="B40" t="s">
        <v>7</v>
      </c>
      <c r="C40" t="s">
        <v>8</v>
      </c>
      <c r="D40" s="1">
        <v>45967.62777777778</v>
      </c>
      <c r="E40" s="8">
        <v>100</v>
      </c>
      <c r="F40">
        <v>1.09483E-3</v>
      </c>
      <c r="G40" s="8">
        <v>91337.82</v>
      </c>
      <c r="H40" s="8">
        <v>1</v>
      </c>
      <c r="I40" s="8">
        <f t="shared" si="6"/>
        <v>91338.38130120658</v>
      </c>
      <c r="J40" s="3">
        <f t="shared" si="2"/>
        <v>6.1453317647952588E-6</v>
      </c>
      <c r="K40">
        <f>SUMIFS($F$2:F40,$A$2:A40,$A40,$B$2:B40,$B40,$C$2:C40,"buy")
 -SUMIFS($F$2:F40,$A$2:A40,$A40,$B$2:B40,$B40,$C$2:C40,"sell")</f>
        <v>1.09483E-3</v>
      </c>
      <c r="L40" s="5">
        <f>COUNTIFS($A$2:A40,$A40,$B$2:B40,$B40,$K$2:K40,0)</f>
        <v>1</v>
      </c>
      <c r="M40" s="9">
        <f t="shared" si="3"/>
        <v>2</v>
      </c>
      <c r="N40" t="str">
        <f t="shared" si="4"/>
        <v>Bitpanda|BTCEUR|002</v>
      </c>
      <c r="O40" s="2">
        <f t="shared" si="8"/>
        <v>-4.8700000000000077E-2</v>
      </c>
    </row>
    <row r="41" spans="1:15" x14ac:dyDescent="0.2">
      <c r="A41" t="s">
        <v>12</v>
      </c>
      <c r="B41" t="s">
        <v>7</v>
      </c>
      <c r="C41" t="s">
        <v>10</v>
      </c>
      <c r="D41" s="1">
        <v>45967.630555555559</v>
      </c>
      <c r="E41" s="8">
        <v>95.13</v>
      </c>
      <c r="F41">
        <v>1.09483E-3</v>
      </c>
      <c r="G41" s="8">
        <v>87763.86</v>
      </c>
      <c r="H41" s="8">
        <v>0.95</v>
      </c>
      <c r="I41" s="8">
        <f t="shared" si="6"/>
        <v>86890.20213183781</v>
      </c>
      <c r="J41" s="3">
        <f t="shared" si="2"/>
        <v>-9.9546426987394687E-3</v>
      </c>
      <c r="K41">
        <f>SUMIFS($F$2:F41,$A$2:A41,$A41,$B$2:B41,$B41,$C$2:C41,"buy")
 -SUMIFS($F$2:F41,$A$2:A41,$A41,$B$2:B41,$B41,$C$2:C41,"sell")</f>
        <v>0</v>
      </c>
      <c r="L41" s="5">
        <f>COUNTIFS($A$2:A41,$A41,$B$2:B41,$B41,$K$2:K41,0)</f>
        <v>2</v>
      </c>
      <c r="M41" s="9">
        <f t="shared" si="3"/>
        <v>2</v>
      </c>
      <c r="N41" t="str">
        <f t="shared" si="4"/>
        <v>Bitpanda|BTCEUR|002</v>
      </c>
      <c r="O41" s="2">
        <f t="shared" si="8"/>
        <v>-4.8700000000000077E-2</v>
      </c>
    </row>
    <row r="42" spans="1:15" x14ac:dyDescent="0.2">
      <c r="A42" t="s">
        <v>13</v>
      </c>
      <c r="B42" t="s">
        <v>7</v>
      </c>
      <c r="C42" t="s">
        <v>8</v>
      </c>
      <c r="D42" s="1">
        <v>45967.62777777778</v>
      </c>
      <c r="E42" s="8">
        <v>100</v>
      </c>
      <c r="F42">
        <v>1.07036E-3</v>
      </c>
      <c r="G42" s="8">
        <v>90633.06</v>
      </c>
      <c r="H42" s="8">
        <v>2.99</v>
      </c>
      <c r="I42" s="8">
        <f t="shared" si="6"/>
        <v>93426.51070667812</v>
      </c>
      <c r="J42" s="3">
        <f t="shared" si="2"/>
        <v>3.0821542455679252E-2</v>
      </c>
      <c r="K42">
        <f>SUMIFS($F$2:F42,$A$2:A42,$A42,$B$2:B42,$B42,$C$2:C42,"buy")
 -SUMIFS($F$2:F42,$A$2:A42,$A42,$B$2:B42,$B42,$C$2:C42,"sell")</f>
        <v>1.0703599999999998E-3</v>
      </c>
      <c r="L42" s="5">
        <f>COUNTIFS($A$2:A42,$A42,$B$2:B42,$B42,$K$2:K42,0)</f>
        <v>1</v>
      </c>
      <c r="M42" s="9">
        <f t="shared" si="3"/>
        <v>2</v>
      </c>
      <c r="N42" t="str">
        <f t="shared" si="4"/>
        <v>Coinbase|BTCEUR|002</v>
      </c>
      <c r="O42" s="2">
        <f t="shared" si="8"/>
        <v>-5.4599999999999871E-2</v>
      </c>
    </row>
    <row r="43" spans="1:15" x14ac:dyDescent="0.2">
      <c r="A43" t="s">
        <v>13</v>
      </c>
      <c r="B43" t="s">
        <v>7</v>
      </c>
      <c r="C43" t="s">
        <v>10</v>
      </c>
      <c r="D43" s="1">
        <v>45967.630555555559</v>
      </c>
      <c r="E43" s="8">
        <v>94.54</v>
      </c>
      <c r="F43">
        <v>1.07036E-3</v>
      </c>
      <c r="G43" s="8">
        <v>88325.42</v>
      </c>
      <c r="H43" s="8">
        <v>2.99</v>
      </c>
      <c r="I43" s="8">
        <f t="shared" si="6"/>
        <v>88325.423222093508</v>
      </c>
      <c r="J43" s="3">
        <f t="shared" si="2"/>
        <v>3.6479798293242993E-8</v>
      </c>
      <c r="K43">
        <f>SUMIFS($F$2:F43,$A$2:A43,$A43,$B$2:B43,$B43,$C$2:C43,"buy")
 -SUMIFS($F$2:F43,$A$2:A43,$A43,$B$2:B43,$B43,$C$2:C43,"sell")</f>
        <v>0</v>
      </c>
      <c r="L43" s="5">
        <f>COUNTIFS($A$2:A43,$A43,$B$2:B43,$B43,$K$2:K43,0)</f>
        <v>2</v>
      </c>
      <c r="M43" s="9">
        <f t="shared" si="3"/>
        <v>2</v>
      </c>
      <c r="N43" t="str">
        <f t="shared" si="4"/>
        <v>Coinbase|BTCEUR|002</v>
      </c>
      <c r="O43" s="2">
        <f t="shared" si="8"/>
        <v>-5.4599999999999871E-2</v>
      </c>
    </row>
    <row r="44" spans="1:15" x14ac:dyDescent="0.2">
      <c r="A44" t="s">
        <v>14</v>
      </c>
      <c r="B44" t="s">
        <v>7</v>
      </c>
      <c r="C44" t="s">
        <v>8</v>
      </c>
      <c r="D44" s="1">
        <v>45967.62777777778</v>
      </c>
      <c r="E44" s="8">
        <v>100.35</v>
      </c>
      <c r="F44">
        <v>1.11344E-3</v>
      </c>
      <c r="G44" s="8">
        <v>89811.06</v>
      </c>
      <c r="H44" s="8">
        <v>0.35</v>
      </c>
      <c r="I44" s="8">
        <f t="shared" si="6"/>
        <v>90126.095703405648</v>
      </c>
      <c r="J44" s="3">
        <f t="shared" si="2"/>
        <v>3.5077606633933112E-3</v>
      </c>
      <c r="K44">
        <f>SUMIFS($F$2:F44,$A$2:A44,$A44,$B$2:B44,$B44,$C$2:C44,"buy")
 -SUMIFS($F$2:F44,$A$2:A44,$A44,$B$2:B44,$B44,$C$2:C44,"sell")</f>
        <v>1.11344E-3</v>
      </c>
      <c r="L44" s="5">
        <f>COUNTIFS($A$2:A44,$A44,$B$2:B44,$B44,$K$2:K44,0)</f>
        <v>1</v>
      </c>
      <c r="M44" s="9">
        <f t="shared" si="3"/>
        <v>2</v>
      </c>
      <c r="N44" t="str">
        <f t="shared" si="4"/>
        <v>BSDEX|BTCEUR|002</v>
      </c>
      <c r="O44" s="2">
        <f t="shared" si="8"/>
        <v>-1.3851519681115865E-2</v>
      </c>
    </row>
    <row r="45" spans="1:15" x14ac:dyDescent="0.2">
      <c r="A45" t="s">
        <v>14</v>
      </c>
      <c r="B45" t="s">
        <v>7</v>
      </c>
      <c r="C45" t="s">
        <v>10</v>
      </c>
      <c r="D45" s="1">
        <v>45967.630555555559</v>
      </c>
      <c r="E45" s="8">
        <f>99.31-H45</f>
        <v>98.960000000000008</v>
      </c>
      <c r="F45">
        <v>1.11344E-3</v>
      </c>
      <c r="G45" s="8">
        <v>89193.19</v>
      </c>
      <c r="H45" s="8">
        <v>0.35</v>
      </c>
      <c r="I45" s="8">
        <f t="shared" si="6"/>
        <v>88877.712314987788</v>
      </c>
      <c r="J45" s="3">
        <f t="shared" si="2"/>
        <v>-3.5370153821409067E-3</v>
      </c>
      <c r="K45">
        <f>SUMIFS($F$2:F45,$A$2:A45,$A45,$B$2:B45,$B45,$C$2:C45,"buy")
 -SUMIFS($F$2:F45,$A$2:A45,$A45,$B$2:B45,$B45,$C$2:C45,"sell")</f>
        <v>0</v>
      </c>
      <c r="L45" s="5">
        <f>COUNTIFS($A$2:A45,$A45,$B$2:B45,$B45,$K$2:K45,0)</f>
        <v>2</v>
      </c>
      <c r="M45" s="9">
        <f t="shared" si="3"/>
        <v>2</v>
      </c>
      <c r="N45" t="str">
        <f t="shared" si="4"/>
        <v>BSDEX|BTCEUR|002</v>
      </c>
      <c r="O45" s="2">
        <f t="shared" si="8"/>
        <v>-1.3851519681115865E-2</v>
      </c>
    </row>
    <row r="46" spans="1:15" x14ac:dyDescent="0.2">
      <c r="A46" t="s">
        <v>15</v>
      </c>
      <c r="B46" t="s">
        <v>7</v>
      </c>
      <c r="C46" t="s">
        <v>8</v>
      </c>
      <c r="D46" s="1">
        <v>45967.62777777778</v>
      </c>
      <c r="E46" s="8">
        <v>100</v>
      </c>
      <c r="F46">
        <v>1.0849E-3</v>
      </c>
      <c r="G46" s="8">
        <v>91261.84</v>
      </c>
      <c r="H46" s="8">
        <v>0.99</v>
      </c>
      <c r="I46" s="8">
        <f t="shared" si="6"/>
        <v>92174.393953359759</v>
      </c>
      <c r="J46" s="3">
        <f t="shared" si="2"/>
        <v>9.9992938270778708E-3</v>
      </c>
      <c r="K46">
        <f>SUMIFS($F$2:F46,$A$2:A46,$A46,$B$2:B46,$B46,$C$2:C46,"buy")
 -SUMIFS($F$2:F46,$A$2:A46,$A46,$B$2:B46,$B46,$C$2:C46,"sell")</f>
        <v>1.0849E-3</v>
      </c>
      <c r="L46" s="5">
        <f>COUNTIFS($A$2:A46,$A46,$B$2:B46,$B46,$K$2:K46,0)</f>
        <v>1</v>
      </c>
      <c r="M46" s="9">
        <f t="shared" si="3"/>
        <v>2</v>
      </c>
      <c r="N46" t="str">
        <f t="shared" si="4"/>
        <v>Kraken|BTCEUR|002</v>
      </c>
      <c r="O46" s="2">
        <f t="shared" si="8"/>
        <v>-5.799999999999994E-2</v>
      </c>
    </row>
    <row r="47" spans="1:15" x14ac:dyDescent="0.2">
      <c r="A47" t="s">
        <v>15</v>
      </c>
      <c r="B47" t="s">
        <v>7</v>
      </c>
      <c r="C47" t="s">
        <v>10</v>
      </c>
      <c r="D47" s="1">
        <v>45967.630555555559</v>
      </c>
      <c r="E47" s="8">
        <v>94.2</v>
      </c>
      <c r="F47">
        <v>1.0849E-3</v>
      </c>
      <c r="G47" s="8">
        <v>87694.84</v>
      </c>
      <c r="H47" s="8">
        <v>0.94</v>
      </c>
      <c r="I47" s="8">
        <f t="shared" si="6"/>
        <v>86828.279104064903</v>
      </c>
      <c r="J47" s="3">
        <f t="shared" si="2"/>
        <v>-9.8815494267974202E-3</v>
      </c>
      <c r="K47">
        <f>SUMIFS($F$2:F47,$A$2:A47,$A47,$B$2:B47,$B47,$C$2:C47,"buy")
 -SUMIFS($F$2:F47,$A$2:A47,$A47,$B$2:B47,$B47,$C$2:C47,"sell")</f>
        <v>0</v>
      </c>
      <c r="L47" s="5">
        <f>COUNTIFS($A$2:A47,$A47,$B$2:B47,$B47,$K$2:K47,0)</f>
        <v>2</v>
      </c>
      <c r="M47" s="9">
        <f t="shared" si="3"/>
        <v>2</v>
      </c>
      <c r="N47" t="str">
        <f t="shared" si="4"/>
        <v>Kraken|BTCEUR|002</v>
      </c>
      <c r="O47" s="2">
        <f t="shared" si="8"/>
        <v>-5.799999999999994E-2</v>
      </c>
    </row>
    <row r="48" spans="1:15" x14ac:dyDescent="0.2">
      <c r="A48" t="s">
        <v>6</v>
      </c>
      <c r="B48" t="s">
        <v>7</v>
      </c>
      <c r="C48" t="s">
        <v>8</v>
      </c>
      <c r="D48" s="1">
        <v>45967.62777777778</v>
      </c>
      <c r="E48" s="8">
        <v>100</v>
      </c>
      <c r="F48">
        <v>1.1124900000000001E-3</v>
      </c>
      <c r="G48" s="8">
        <v>89663</v>
      </c>
      <c r="H48" s="8">
        <v>0.25</v>
      </c>
      <c r="I48" s="8">
        <f t="shared" si="6"/>
        <v>89888.448435491548</v>
      </c>
      <c r="J48" s="3">
        <f t="shared" si="2"/>
        <v>2.514397638842647E-3</v>
      </c>
      <c r="K48">
        <f>SUMIFS($F$2:F48,$A$2:A48,$A48,$B$2:B48,$B48,$C$2:C48,"buy")
 -SUMIFS($F$2:F48,$A$2:A48,$A48,$B$2:B48,$B48,$C$2:C48,"sell")</f>
        <v>1.1124899999999998E-3</v>
      </c>
      <c r="L48" s="5">
        <f>COUNTIFS($A$2:A48,$A48,$B$2:B48,$B48,$K$2:K48,0)</f>
        <v>1</v>
      </c>
      <c r="M48" s="9">
        <f t="shared" si="3"/>
        <v>2</v>
      </c>
      <c r="N48" t="str">
        <f t="shared" si="4"/>
        <v>Bitvavo|BTCEUR|002</v>
      </c>
      <c r="O48" s="2">
        <f t="shared" si="8"/>
        <v>-1.1199999999999877E-2</v>
      </c>
    </row>
    <row r="49" spans="1:15" x14ac:dyDescent="0.2">
      <c r="A49" t="s">
        <v>6</v>
      </c>
      <c r="B49" t="s">
        <v>7</v>
      </c>
      <c r="C49" t="s">
        <v>10</v>
      </c>
      <c r="D49" s="1">
        <v>45967.630555555559</v>
      </c>
      <c r="E49" s="8">
        <v>98.88</v>
      </c>
      <c r="F49">
        <v>1.1124900000000001E-3</v>
      </c>
      <c r="G49" s="8">
        <v>89111</v>
      </c>
      <c r="H49" s="8">
        <v>0.26</v>
      </c>
      <c r="I49" s="8">
        <f t="shared" si="6"/>
        <v>88881.697813014049</v>
      </c>
      <c r="J49" s="3">
        <f t="shared" si="2"/>
        <v>-2.5732197706899163E-3</v>
      </c>
      <c r="K49">
        <f>SUMIFS($F$2:F49,$A$2:A49,$A49,$B$2:B49,$B49,$C$2:C49,"buy")
 -SUMIFS($F$2:F49,$A$2:A49,$A49,$B$2:B49,$B49,$C$2:C49,"sell")</f>
        <v>0</v>
      </c>
      <c r="L49" s="5">
        <f>COUNTIFS($A$2:A49,$A49,$B$2:B49,$B49,$K$2:K49,0)</f>
        <v>2</v>
      </c>
      <c r="M49" s="9">
        <f t="shared" si="3"/>
        <v>2</v>
      </c>
      <c r="N49" t="str">
        <f t="shared" si="4"/>
        <v>Bitvavo|BTCEUR|002</v>
      </c>
      <c r="O49" s="2">
        <f t="shared" si="8"/>
        <v>-1.1199999999999877E-2</v>
      </c>
    </row>
    <row r="50" spans="1:15" x14ac:dyDescent="0.2">
      <c r="A50" t="s">
        <v>11</v>
      </c>
      <c r="B50" t="s">
        <v>16</v>
      </c>
      <c r="C50" t="s">
        <v>8</v>
      </c>
      <c r="D50" s="1">
        <v>45968.449305555558</v>
      </c>
      <c r="E50" s="8">
        <v>100</v>
      </c>
      <c r="F50">
        <v>3.4592280000000003E-2</v>
      </c>
      <c r="G50" s="8">
        <v>2890.82</v>
      </c>
      <c r="I50" s="8">
        <f t="shared" si="6"/>
        <v>2890.8184138194993</v>
      </c>
      <c r="J50" s="3">
        <f t="shared" si="2"/>
        <v>-5.4869569909854476E-7</v>
      </c>
      <c r="K50">
        <f>SUMIFS($F$2:F50,$A$2:A50,$A50,$B$2:B50,$B50,$C$2:C50,"buy")
 -SUMIFS($F$2:F50,$A$2:A50,$A50,$B$2:B50,$B50,$C$2:C50,"sell")</f>
        <v>3.4592280000000003E-2</v>
      </c>
      <c r="L50" s="5">
        <f>COUNTIFS($A$2:A50,$A50,$B$2:B50,$B50,$K$2:K50,0)</f>
        <v>1</v>
      </c>
      <c r="M50" s="9">
        <f t="shared" si="3"/>
        <v>2</v>
      </c>
      <c r="N50" t="str">
        <f t="shared" si="4"/>
        <v>Bison|ETHEUR|002</v>
      </c>
      <c r="O50" s="2">
        <f t="shared" si="8"/>
        <v>-2.4399999999999977E-2</v>
      </c>
    </row>
    <row r="51" spans="1:15" x14ac:dyDescent="0.2">
      <c r="A51" t="s">
        <v>11</v>
      </c>
      <c r="B51" t="s">
        <v>16</v>
      </c>
      <c r="C51" t="s">
        <v>10</v>
      </c>
      <c r="D51" s="1">
        <v>45968.451388888891</v>
      </c>
      <c r="E51" s="8">
        <v>97.56</v>
      </c>
      <c r="F51">
        <v>3.4592280000000003E-2</v>
      </c>
      <c r="G51" s="8">
        <v>2820.3</v>
      </c>
      <c r="I51" s="8">
        <f t="shared" si="6"/>
        <v>2820.2824445223036</v>
      </c>
      <c r="J51" s="3">
        <f t="shared" si="2"/>
        <v>-6.224684500399924E-6</v>
      </c>
      <c r="K51">
        <f>SUMIFS($F$2:F51,$A$2:A51,$A51,$B$2:B51,$B51,$C$2:C51,"buy")
 -SUMIFS($F$2:F51,$A$2:A51,$A51,$B$2:B51,$B51,$C$2:C51,"sell")</f>
        <v>0</v>
      </c>
      <c r="L51" s="5">
        <f>COUNTIFS($A$2:A51,$A51,$B$2:B51,$B51,$K$2:K51,0)</f>
        <v>2</v>
      </c>
      <c r="M51" s="9">
        <f t="shared" si="3"/>
        <v>2</v>
      </c>
      <c r="N51" t="str">
        <f t="shared" si="4"/>
        <v>Bison|ETHEUR|002</v>
      </c>
      <c r="O51" s="2">
        <f t="shared" si="8"/>
        <v>-2.4399999999999977E-2</v>
      </c>
    </row>
    <row r="52" spans="1:15" x14ac:dyDescent="0.2">
      <c r="A52" t="s">
        <v>12</v>
      </c>
      <c r="B52" t="s">
        <v>16</v>
      </c>
      <c r="C52" t="s">
        <v>8</v>
      </c>
      <c r="D52" s="1">
        <v>45968.449305555558</v>
      </c>
      <c r="E52" s="8">
        <v>100</v>
      </c>
      <c r="F52">
        <v>3.4053470000000002E-2</v>
      </c>
      <c r="G52" s="8">
        <v>2936.55</v>
      </c>
      <c r="H52" s="8">
        <v>1.51</v>
      </c>
      <c r="I52" s="8">
        <f t="shared" si="6"/>
        <v>2936.5583008133972</v>
      </c>
      <c r="J52" s="3">
        <f t="shared" si="2"/>
        <v>2.826722990345587E-6</v>
      </c>
      <c r="K52">
        <f>SUMIFS($F$2:F52,$A$2:A52,$A52,$B$2:B52,$B52,$C$2:C52,"buy")
 -SUMIFS($F$2:F52,$A$2:A52,$A52,$B$2:B52,$B52,$C$2:C52,"sell")</f>
        <v>3.4053469999999995E-2</v>
      </c>
      <c r="L52" s="5">
        <f>COUNTIFS($A$2:A52,$A52,$B$2:B52,$B52,$K$2:K52,0)</f>
        <v>1</v>
      </c>
      <c r="M52" s="9">
        <f t="shared" si="3"/>
        <v>2</v>
      </c>
      <c r="N52" t="str">
        <f t="shared" si="4"/>
        <v>Bitpanda|ETHEUR|002</v>
      </c>
      <c r="O52" s="2">
        <f t="shared" si="8"/>
        <v>-6.469999999999998E-2</v>
      </c>
    </row>
    <row r="53" spans="1:15" x14ac:dyDescent="0.2">
      <c r="A53" t="s">
        <v>12</v>
      </c>
      <c r="B53" t="s">
        <v>16</v>
      </c>
      <c r="C53" t="s">
        <v>10</v>
      </c>
      <c r="D53" s="1">
        <v>45968.451388888891</v>
      </c>
      <c r="E53" s="8">
        <v>93.53</v>
      </c>
      <c r="F53">
        <v>3.4053470000000002E-2</v>
      </c>
      <c r="G53" s="8">
        <v>2788.06</v>
      </c>
      <c r="H53" s="8">
        <v>1.41</v>
      </c>
      <c r="I53" s="8">
        <f t="shared" si="6"/>
        <v>2746.5629787507705</v>
      </c>
      <c r="J53" s="3">
        <f t="shared" si="2"/>
        <v>-1.4883833651079703E-2</v>
      </c>
      <c r="K53">
        <f>SUMIFS($F$2:F53,$A$2:A53,$A53,$B$2:B53,$B53,$C$2:C53,"buy")
 -SUMIFS($F$2:F53,$A$2:A53,$A53,$B$2:B53,$B53,$C$2:C53,"sell")</f>
        <v>0</v>
      </c>
      <c r="L53" s="5">
        <f>COUNTIFS($A$2:A53,$A53,$B$2:B53,$B53,$K$2:K53,0)</f>
        <v>2</v>
      </c>
      <c r="M53" s="9">
        <f t="shared" si="3"/>
        <v>2</v>
      </c>
      <c r="N53" t="str">
        <f t="shared" si="4"/>
        <v>Bitpanda|ETHEUR|002</v>
      </c>
      <c r="O53" s="2">
        <f t="shared" si="8"/>
        <v>-6.469999999999998E-2</v>
      </c>
    </row>
    <row r="54" spans="1:15" x14ac:dyDescent="0.2">
      <c r="A54" t="s">
        <v>13</v>
      </c>
      <c r="B54" t="s">
        <v>16</v>
      </c>
      <c r="C54" t="s">
        <v>8</v>
      </c>
      <c r="D54" s="1">
        <v>45968.449305555558</v>
      </c>
      <c r="E54" s="8">
        <v>100</v>
      </c>
      <c r="F54">
        <v>3.3628570000000003E-2</v>
      </c>
      <c r="G54" s="8">
        <v>2884.75</v>
      </c>
      <c r="H54" s="8">
        <v>2.99</v>
      </c>
      <c r="I54" s="8">
        <f t="shared" si="6"/>
        <v>2973.6619784903132</v>
      </c>
      <c r="J54" s="3">
        <f t="shared" si="2"/>
        <v>3.0821380878867544E-2</v>
      </c>
      <c r="K54">
        <f>SUMIFS($F$2:F54,$A$2:A54,$A54,$B$2:B54,$B54,$C$2:C54,"buy")
 -SUMIFS($F$2:F54,$A$2:A54,$A54,$B$2:B54,$B54,$C$2:C54,"sell")</f>
        <v>3.362857000000001E-2</v>
      </c>
      <c r="L54" s="5">
        <f>COUNTIFS($A$2:A54,$A54,$B$2:B54,$B54,$K$2:K54,0)</f>
        <v>1</v>
      </c>
      <c r="M54" s="9">
        <f t="shared" si="3"/>
        <v>2</v>
      </c>
      <c r="N54" t="str">
        <f t="shared" si="4"/>
        <v>Coinbase|ETHEUR|002</v>
      </c>
      <c r="O54" s="2">
        <f t="shared" si="8"/>
        <v>-7.8500000000000014E-2</v>
      </c>
    </row>
    <row r="55" spans="1:15" x14ac:dyDescent="0.2">
      <c r="A55" t="s">
        <v>13</v>
      </c>
      <c r="B55" t="s">
        <v>16</v>
      </c>
      <c r="C55" t="s">
        <v>10</v>
      </c>
      <c r="D55" s="1">
        <v>45968.451388888891</v>
      </c>
      <c r="E55" s="8">
        <v>92.15</v>
      </c>
      <c r="F55">
        <v>3.3628570000000003E-2</v>
      </c>
      <c r="G55" s="8">
        <v>2829.14</v>
      </c>
      <c r="H55" s="8">
        <v>2.99</v>
      </c>
      <c r="I55" s="8">
        <f t="shared" si="6"/>
        <v>2740.2295131788237</v>
      </c>
      <c r="J55" s="3">
        <f t="shared" si="2"/>
        <v>-3.1426683310538217E-2</v>
      </c>
      <c r="K55">
        <f>SUMIFS($F$2:F55,$A$2:A55,$A55,$B$2:B55,$B55,$C$2:C55,"buy")
 -SUMIFS($F$2:F55,$A$2:A55,$A55,$B$2:B55,$B55,$C$2:C55,"sell")</f>
        <v>0</v>
      </c>
      <c r="L55" s="5">
        <f>COUNTIFS($A$2:A55,$A55,$B$2:B55,$B55,$K$2:K55,0)</f>
        <v>2</v>
      </c>
      <c r="M55" s="9">
        <f t="shared" si="3"/>
        <v>2</v>
      </c>
      <c r="N55" t="str">
        <f t="shared" si="4"/>
        <v>Coinbase|ETHEUR|002</v>
      </c>
      <c r="O55" s="2">
        <f t="shared" si="8"/>
        <v>-7.8500000000000014E-2</v>
      </c>
    </row>
    <row r="56" spans="1:15" x14ac:dyDescent="0.2">
      <c r="A56" t="s">
        <v>14</v>
      </c>
      <c r="B56" t="s">
        <v>16</v>
      </c>
      <c r="C56" t="s">
        <v>8</v>
      </c>
      <c r="D56" s="1">
        <v>45968.449305555558</v>
      </c>
      <c r="E56" s="8">
        <v>100.35</v>
      </c>
      <c r="F56">
        <v>3.5019155000000003E-2</v>
      </c>
      <c r="G56" s="8">
        <v>2855.58</v>
      </c>
      <c r="H56" s="8">
        <v>0.35</v>
      </c>
      <c r="I56" s="8">
        <f t="shared" si="6"/>
        <v>2865.5745691179582</v>
      </c>
      <c r="J56" s="3">
        <f t="shared" si="2"/>
        <v>3.5000136987786146E-3</v>
      </c>
      <c r="K56">
        <f>SUMIFS($F$2:F56,$A$2:A56,$A56,$B$2:B56,$B56,$C$2:C56,"buy")
 -SUMIFS($F$2:F56,$A$2:A56,$A56,$B$2:B56,$B56,$C$2:C56,"sell")</f>
        <v>3.501915500000001E-2</v>
      </c>
      <c r="L56" s="5">
        <f>COUNTIFS($A$2:A56,$A56,$B$2:B56,$B56,$K$2:K56,0)</f>
        <v>1</v>
      </c>
      <c r="M56" s="9">
        <f t="shared" si="3"/>
        <v>2</v>
      </c>
      <c r="N56" t="str">
        <f t="shared" si="4"/>
        <v>BSDEX|ETHEUR|002</v>
      </c>
      <c r="O56" s="2">
        <f t="shared" si="8"/>
        <v>-6.5769805680118143E-3</v>
      </c>
    </row>
    <row r="57" spans="1:15" x14ac:dyDescent="0.2">
      <c r="A57" t="s">
        <v>14</v>
      </c>
      <c r="B57" t="s">
        <v>16</v>
      </c>
      <c r="C57" t="s">
        <v>10</v>
      </c>
      <c r="D57" s="1">
        <v>45968.451388888891</v>
      </c>
      <c r="E57" s="8">
        <f>100.04-H57</f>
        <v>99.690000000000012</v>
      </c>
      <c r="F57">
        <v>3.5019155000000003E-2</v>
      </c>
      <c r="G57" s="8">
        <v>2856.71</v>
      </c>
      <c r="H57" s="8">
        <v>0.35</v>
      </c>
      <c r="I57" s="8">
        <f t="shared" si="6"/>
        <v>2846.7277408606806</v>
      </c>
      <c r="J57" s="3">
        <f t="shared" si="2"/>
        <v>-3.4943200882552317E-3</v>
      </c>
      <c r="K57">
        <f>SUMIFS($F$2:F57,$A$2:A57,$A57,$B$2:B57,$B57,$C$2:C57,"buy")
 -SUMIFS($F$2:F57,$A$2:A57,$A57,$B$2:B57,$B57,$C$2:C57,"sell")</f>
        <v>0</v>
      </c>
      <c r="L57" s="5">
        <f>COUNTIFS($A$2:A57,$A57,$B$2:B57,$B57,$K$2:K57,0)</f>
        <v>2</v>
      </c>
      <c r="M57" s="9">
        <f t="shared" si="3"/>
        <v>2</v>
      </c>
      <c r="N57" t="str">
        <f t="shared" si="4"/>
        <v>BSDEX|ETHEUR|002</v>
      </c>
      <c r="O57" s="2">
        <f t="shared" si="8"/>
        <v>-6.5769805680118143E-3</v>
      </c>
    </row>
    <row r="58" spans="1:15" x14ac:dyDescent="0.2">
      <c r="A58" t="s">
        <v>15</v>
      </c>
      <c r="B58" t="s">
        <v>16</v>
      </c>
      <c r="C58" t="s">
        <v>8</v>
      </c>
      <c r="D58" s="1">
        <v>45968.449305555558</v>
      </c>
      <c r="E58" s="8">
        <v>100</v>
      </c>
      <c r="F58">
        <v>3.3984180000000003E-2</v>
      </c>
      <c r="G58" s="8">
        <v>2913.41</v>
      </c>
      <c r="H58" s="8">
        <v>0.99</v>
      </c>
      <c r="I58" s="8">
        <f t="shared" si="6"/>
        <v>2942.5456197560156</v>
      </c>
      <c r="J58" s="3">
        <f t="shared" si="2"/>
        <v>1.0000521641655657E-2</v>
      </c>
      <c r="K58">
        <f>SUMIFS($F$2:F58,$A$2:A58,$A58,$B$2:B58,$B58,$C$2:C58,"buy")
 -SUMIFS($F$2:F58,$A$2:A58,$A58,$B$2:B58,$B58,$C$2:C58,"sell")</f>
        <v>3.398418000000001E-2</v>
      </c>
      <c r="L58" s="5">
        <f>COUNTIFS($A$2:A58,$A58,$B$2:B58,$B58,$K$2:K58,0)</f>
        <v>1</v>
      </c>
      <c r="M58" s="9">
        <f t="shared" si="3"/>
        <v>2</v>
      </c>
      <c r="N58" t="str">
        <f t="shared" si="4"/>
        <v>Kraken|ETHEUR|002</v>
      </c>
      <c r="O58" s="2">
        <f t="shared" si="8"/>
        <v>-5.7300000000000129E-2</v>
      </c>
    </row>
    <row r="59" spans="1:15" x14ac:dyDescent="0.2">
      <c r="A59" t="s">
        <v>15</v>
      </c>
      <c r="B59" t="s">
        <v>16</v>
      </c>
      <c r="C59" t="s">
        <v>10</v>
      </c>
      <c r="D59" s="1">
        <v>45968.451388888891</v>
      </c>
      <c r="E59" s="8">
        <v>94.27</v>
      </c>
      <c r="F59">
        <v>3.3984180000000003E-2</v>
      </c>
      <c r="G59" s="8">
        <v>2801.68</v>
      </c>
      <c r="H59" s="8">
        <v>0.94</v>
      </c>
      <c r="I59" s="8">
        <f t="shared" si="6"/>
        <v>2773.9377557439957</v>
      </c>
      <c r="J59" s="3">
        <f t="shared" si="2"/>
        <v>-9.9020031752391491E-3</v>
      </c>
      <c r="K59">
        <f>SUMIFS($F$2:F59,$A$2:A59,$A59,$B$2:B59,$B59,$C$2:C59,"buy")
 -SUMIFS($F$2:F59,$A$2:A59,$A59,$B$2:B59,$B59,$C$2:C59,"sell")</f>
        <v>0</v>
      </c>
      <c r="L59" s="5">
        <f>COUNTIFS($A$2:A59,$A59,$B$2:B59,$B59,$K$2:K59,0)</f>
        <v>2</v>
      </c>
      <c r="M59" s="9">
        <f t="shared" si="3"/>
        <v>2</v>
      </c>
      <c r="N59" t="str">
        <f t="shared" si="4"/>
        <v>Kraken|ETHEUR|002</v>
      </c>
      <c r="O59" s="2">
        <f t="shared" si="8"/>
        <v>-5.7300000000000129E-2</v>
      </c>
    </row>
    <row r="60" spans="1:15" x14ac:dyDescent="0.2">
      <c r="A60" t="s">
        <v>6</v>
      </c>
      <c r="B60" t="s">
        <v>16</v>
      </c>
      <c r="C60" t="s">
        <v>8</v>
      </c>
      <c r="D60" s="1">
        <v>45968.449305555558</v>
      </c>
      <c r="E60" s="8">
        <v>100</v>
      </c>
      <c r="F60">
        <v>3.4922920000000003E-2</v>
      </c>
      <c r="G60" s="8">
        <v>2856.3</v>
      </c>
      <c r="H60" s="8">
        <v>0.25</v>
      </c>
      <c r="I60" s="8">
        <f t="shared" si="6"/>
        <v>2863.4489899470032</v>
      </c>
      <c r="J60" s="3">
        <f t="shared" si="2"/>
        <v>2.5028848324766262E-3</v>
      </c>
      <c r="K60">
        <f>SUMIFS($F$2:F60,$A$2:A60,$A60,$B$2:B60,$B60,$C$2:C60,"buy")
 -SUMIFS($F$2:F60,$A$2:A60,$A60,$B$2:B60,$B60,$C$2:C60,"sell")</f>
        <v>3.4922919999999996E-2</v>
      </c>
      <c r="L60" s="5">
        <f>COUNTIFS($A$2:A60,$A60,$B$2:B60,$B60,$K$2:K60,0)</f>
        <v>1</v>
      </c>
      <c r="M60" s="9">
        <f t="shared" si="3"/>
        <v>2</v>
      </c>
      <c r="N60" t="str">
        <f t="shared" si="4"/>
        <v>Bitvavo|ETHEUR|002</v>
      </c>
      <c r="O60" s="2">
        <f t="shared" si="8"/>
        <v>-4.0999999999998815E-3</v>
      </c>
    </row>
    <row r="61" spans="1:15" x14ac:dyDescent="0.2">
      <c r="A61" t="s">
        <v>6</v>
      </c>
      <c r="B61" t="s">
        <v>16</v>
      </c>
      <c r="C61" t="s">
        <v>10</v>
      </c>
      <c r="D61" s="1">
        <v>45968.451388888891</v>
      </c>
      <c r="E61" s="8">
        <v>99.59</v>
      </c>
      <c r="F61">
        <v>3.4922920000000003E-2</v>
      </c>
      <c r="G61" s="8">
        <v>2859</v>
      </c>
      <c r="H61" s="8">
        <v>0.25</v>
      </c>
      <c r="I61" s="8">
        <f t="shared" si="6"/>
        <v>2851.7088490882206</v>
      </c>
      <c r="J61" s="3">
        <f t="shared" si="2"/>
        <v>-2.5502451597689824E-3</v>
      </c>
      <c r="K61">
        <f>SUMIFS($F$2:F61,$A$2:A61,$A61,$B$2:B61,$B61,$C$2:C61,"buy")
 -SUMIFS($F$2:F61,$A$2:A61,$A61,$B$2:B61,$B61,$C$2:C61,"sell")</f>
        <v>0</v>
      </c>
      <c r="L61" s="5">
        <f>COUNTIFS($A$2:A61,$A61,$B$2:B61,$B61,$K$2:K61,0)</f>
        <v>2</v>
      </c>
      <c r="M61" s="9">
        <f t="shared" si="3"/>
        <v>2</v>
      </c>
      <c r="N61" t="str">
        <f t="shared" si="4"/>
        <v>Bitvavo|ETHEUR|002</v>
      </c>
      <c r="O61" s="2">
        <f t="shared" si="8"/>
        <v>-4.0999999999998815E-3</v>
      </c>
    </row>
    <row r="62" spans="1:15" x14ac:dyDescent="0.2">
      <c r="A62" t="s">
        <v>11</v>
      </c>
      <c r="B62" t="s">
        <v>17</v>
      </c>
      <c r="C62" t="s">
        <v>8</v>
      </c>
      <c r="D62" s="1">
        <v>45969.854861111111</v>
      </c>
      <c r="E62" s="8">
        <v>100</v>
      </c>
      <c r="F62">
        <v>7.4878173099999996</v>
      </c>
      <c r="G62" s="8">
        <v>13.36</v>
      </c>
      <c r="I62" s="8">
        <f t="shared" si="6"/>
        <v>13.3550266866754</v>
      </c>
      <c r="J62" s="3">
        <f t="shared" si="2"/>
        <v>-3.7225399136220361E-4</v>
      </c>
      <c r="K62">
        <f>SUMIFS($F$2:F62,$A$2:A62,$A62,$B$2:B62,$B62,$C$2:C62,"buy")
 -SUMIFS($F$2:F62,$A$2:A62,$A62,$B$2:B62,$B62,$C$2:C62,"sell")</f>
        <v>7.4878173100000005</v>
      </c>
      <c r="L62" s="5">
        <f>COUNTIFS($A$2:A62,$A62,$B$2:B62,$B62,$K$2:K62,0)</f>
        <v>1</v>
      </c>
      <c r="M62" s="9">
        <f t="shared" si="3"/>
        <v>2</v>
      </c>
      <c r="N62" t="str">
        <f t="shared" si="4"/>
        <v>Bison|LINKEUR|002</v>
      </c>
      <c r="O62" s="2">
        <f t="shared" si="8"/>
        <v>-2.4000000000000021E-2</v>
      </c>
    </row>
    <row r="63" spans="1:15" x14ac:dyDescent="0.2">
      <c r="A63" t="s">
        <v>11</v>
      </c>
      <c r="B63" t="s">
        <v>17</v>
      </c>
      <c r="C63" t="s">
        <v>10</v>
      </c>
      <c r="D63" s="1">
        <v>45969.856944444444</v>
      </c>
      <c r="E63" s="8">
        <v>97.6</v>
      </c>
      <c r="F63">
        <v>7.4878173099999996</v>
      </c>
      <c r="G63" s="8">
        <v>13.04</v>
      </c>
      <c r="I63" s="8">
        <f t="shared" si="6"/>
        <v>13.03450604619519</v>
      </c>
      <c r="J63" s="3">
        <f t="shared" si="2"/>
        <v>-4.2131547582890949E-4</v>
      </c>
      <c r="K63">
        <f>SUMIFS($F$2:F63,$A$2:A63,$A63,$B$2:B63,$B63,$C$2:C63,"buy")
 -SUMIFS($F$2:F63,$A$2:A63,$A63,$B$2:B63,$B63,$C$2:C63,"sell")</f>
        <v>0</v>
      </c>
      <c r="L63" s="5">
        <f>COUNTIFS($A$2:A63,$A63,$B$2:B63,$B63,$K$2:K63,0)</f>
        <v>2</v>
      </c>
      <c r="M63" s="9">
        <f t="shared" si="3"/>
        <v>2</v>
      </c>
      <c r="N63" t="str">
        <f t="shared" si="4"/>
        <v>Bison|LINKEUR|002</v>
      </c>
      <c r="O63" s="2">
        <f t="shared" si="8"/>
        <v>-2.4000000000000021E-2</v>
      </c>
    </row>
    <row r="64" spans="1:15" x14ac:dyDescent="0.2">
      <c r="A64" t="s">
        <v>12</v>
      </c>
      <c r="B64" t="s">
        <v>17</v>
      </c>
      <c r="C64" t="s">
        <v>8</v>
      </c>
      <c r="D64" s="1">
        <v>45969.854861111111</v>
      </c>
      <c r="E64" s="8">
        <v>100</v>
      </c>
      <c r="F64">
        <v>7.3254440699999996</v>
      </c>
      <c r="G64" s="8">
        <v>13.651</v>
      </c>
      <c r="H64" s="8">
        <v>1.52</v>
      </c>
      <c r="I64" s="8">
        <f t="shared" si="6"/>
        <v>13.651049553368578</v>
      </c>
      <c r="J64" s="3">
        <f t="shared" si="2"/>
        <v>3.6300174770520499E-6</v>
      </c>
      <c r="K64">
        <f>SUMIFS($F$2:F64,$A$2:A64,$A64,$B$2:B64,$B64,$C$2:C64,"buy")
 -SUMIFS($F$2:F64,$A$2:A64,$A64,$B$2:B64,$B64,$C$2:C64,"sell")</f>
        <v>7.3254440699999996</v>
      </c>
      <c r="L64" s="5">
        <f>COUNTIFS($A$2:A64,$A64,$B$2:B64,$B64,$K$2:K64,0)</f>
        <v>1</v>
      </c>
      <c r="M64" s="9">
        <f t="shared" si="3"/>
        <v>2</v>
      </c>
      <c r="N64" t="str">
        <f t="shared" si="4"/>
        <v>Bitpanda|LINKEUR|002</v>
      </c>
      <c r="O64" s="2">
        <f t="shared" si="8"/>
        <v>-7.5100000000000056E-2</v>
      </c>
    </row>
    <row r="65" spans="1:15" x14ac:dyDescent="0.2">
      <c r="A65" t="s">
        <v>12</v>
      </c>
      <c r="B65" t="s">
        <v>17</v>
      </c>
      <c r="C65" t="s">
        <v>10</v>
      </c>
      <c r="D65" s="1">
        <v>45969.856944444444</v>
      </c>
      <c r="E65" s="8">
        <v>92.49</v>
      </c>
      <c r="F65">
        <v>7.3254440699999996</v>
      </c>
      <c r="G65" s="8">
        <v>12.8154</v>
      </c>
      <c r="H65" s="8">
        <v>1.38</v>
      </c>
      <c r="I65" s="8">
        <f t="shared" si="6"/>
        <v>12.625855731910598</v>
      </c>
      <c r="J65" s="3">
        <f t="shared" si="2"/>
        <v>-1.4790351303073046E-2</v>
      </c>
      <c r="K65">
        <f>SUMIFS($F$2:F65,$A$2:A65,$A65,$B$2:B65,$B65,$C$2:C65,"buy")
 -SUMIFS($F$2:F65,$A$2:A65,$A65,$B$2:B65,$B65,$C$2:C65,"sell")</f>
        <v>0</v>
      </c>
      <c r="L65" s="5">
        <f>COUNTIFS($A$2:A65,$A65,$B$2:B65,$B65,$K$2:K65,0)</f>
        <v>2</v>
      </c>
      <c r="M65" s="9">
        <f t="shared" si="3"/>
        <v>2</v>
      </c>
      <c r="N65" t="str">
        <f t="shared" si="4"/>
        <v>Bitpanda|LINKEUR|002</v>
      </c>
      <c r="O65" s="2">
        <f t="shared" si="8"/>
        <v>-7.5100000000000056E-2</v>
      </c>
    </row>
    <row r="66" spans="1:15" x14ac:dyDescent="0.2">
      <c r="A66" t="s">
        <v>13</v>
      </c>
      <c r="B66" t="s">
        <v>17</v>
      </c>
      <c r="C66" t="s">
        <v>8</v>
      </c>
      <c r="D66" s="1">
        <v>45969.854861111111</v>
      </c>
      <c r="E66" s="8">
        <v>100</v>
      </c>
      <c r="F66">
        <v>7.2812661099999998</v>
      </c>
      <c r="G66" s="8">
        <v>13.32</v>
      </c>
      <c r="H66" s="8">
        <v>2.99</v>
      </c>
      <c r="I66" s="8">
        <f t="shared" si="6"/>
        <v>13.7338751927582</v>
      </c>
      <c r="J66" s="3">
        <f t="shared" si="2"/>
        <v>3.1071711168032978E-2</v>
      </c>
      <c r="K66">
        <f>SUMIFS($F$2:F66,$A$2:A66,$A66,$B$2:B66,$B66,$C$2:C66,"buy")
 -SUMIFS($F$2:F66,$A$2:A66,$A66,$B$2:B66,$B66,$C$2:C66,"sell")</f>
        <v>7.2812661100000007</v>
      </c>
      <c r="L66" s="5">
        <f>COUNTIFS($A$2:A66,$A66,$B$2:B66,$B66,$K$2:K66,0)</f>
        <v>1</v>
      </c>
      <c r="M66" s="9">
        <f t="shared" si="3"/>
        <v>2</v>
      </c>
      <c r="N66" t="str">
        <f t="shared" si="4"/>
        <v>Coinbase|LINKEUR|002</v>
      </c>
      <c r="O66" s="2">
        <f t="shared" si="8"/>
        <v>-7.8399999999999914E-2</v>
      </c>
    </row>
    <row r="67" spans="1:15" x14ac:dyDescent="0.2">
      <c r="A67" t="s">
        <v>13</v>
      </c>
      <c r="B67" t="s">
        <v>17</v>
      </c>
      <c r="C67" t="s">
        <v>10</v>
      </c>
      <c r="D67" s="1">
        <v>45969.856944444444</v>
      </c>
      <c r="E67" s="8">
        <v>92.16</v>
      </c>
      <c r="F67">
        <v>7.2812661099999998</v>
      </c>
      <c r="G67" s="8">
        <v>13.07</v>
      </c>
      <c r="H67" s="8">
        <v>2.99</v>
      </c>
      <c r="I67" s="8">
        <f t="shared" ref="I67:I101" si="9">E67/F67</f>
        <v>12.657139377645958</v>
      </c>
      <c r="J67" s="3">
        <f t="shared" si="2"/>
        <v>-3.1588417930684232E-2</v>
      </c>
      <c r="K67">
        <f>SUMIFS($F$2:F67,$A$2:A67,$A67,$B$2:B67,$B67,$C$2:C67,"buy")
 -SUMIFS($F$2:F67,$A$2:A67,$A67,$B$2:B67,$B67,$C$2:C67,"sell")</f>
        <v>0</v>
      </c>
      <c r="L67" s="5">
        <f>COUNTIFS($A$2:A67,$A67,$B$2:B67,$B67,$K$2:K67,0)</f>
        <v>2</v>
      </c>
      <c r="M67" s="9">
        <f t="shared" ref="M67:M101" si="10" xml:space="preserve"> L67 + IF(K67=0,0,1)</f>
        <v>2</v>
      </c>
      <c r="N67" t="str">
        <f t="shared" ref="N67:N101" si="11" xml:space="preserve"> A67 &amp; "|" &amp; B67 &amp; "|" &amp; TEXT(M67,"000")</f>
        <v>Coinbase|LINKEUR|002</v>
      </c>
      <c r="O67" s="2">
        <f t="shared" si="8"/>
        <v>-7.8399999999999914E-2</v>
      </c>
    </row>
    <row r="68" spans="1:15" x14ac:dyDescent="0.2">
      <c r="A68" t="s">
        <v>14</v>
      </c>
      <c r="B68" t="s">
        <v>17</v>
      </c>
      <c r="C68" t="s">
        <v>8</v>
      </c>
      <c r="D68" s="1">
        <v>45969.854861111111</v>
      </c>
      <c r="E68" s="8">
        <f>100+H68</f>
        <v>100.35</v>
      </c>
      <c r="F68">
        <v>7.5623515880000003</v>
      </c>
      <c r="G68" s="8">
        <v>13.22</v>
      </c>
      <c r="H68" s="8">
        <v>0.35</v>
      </c>
      <c r="I68" s="8">
        <f t="shared" si="9"/>
        <v>13.269681901491618</v>
      </c>
      <c r="J68" s="3">
        <f t="shared" si="2"/>
        <v>3.7580863458106517E-3</v>
      </c>
      <c r="K68">
        <f>SUMIFS($F$2:F68,$A$2:A68,$A68,$B$2:B68,$B68,$C$2:C68,"buy")
 -SUMIFS($F$2:F68,$A$2:A68,$A68,$B$2:B68,$B68,$C$2:C68,"sell")</f>
        <v>7.5623515880000003</v>
      </c>
      <c r="L68" s="5">
        <f>COUNTIFS($A$2:A68,$A68,$B$2:B68,$B68,$K$2:K68,0)</f>
        <v>1</v>
      </c>
      <c r="M68" s="9">
        <f t="shared" si="10"/>
        <v>2</v>
      </c>
      <c r="N68" t="str">
        <f t="shared" si="11"/>
        <v>BSDEX|LINKEUR|002</v>
      </c>
      <c r="O68" s="2">
        <f t="shared" si="8"/>
        <v>-1.0861983059292313E-2</v>
      </c>
    </row>
    <row r="69" spans="1:15" x14ac:dyDescent="0.2">
      <c r="A69" t="s">
        <v>14</v>
      </c>
      <c r="B69" t="s">
        <v>17</v>
      </c>
      <c r="C69" t="s">
        <v>10</v>
      </c>
      <c r="D69" s="1">
        <v>45969.856944444444</v>
      </c>
      <c r="E69" s="8">
        <f>99.61-H69</f>
        <v>99.26</v>
      </c>
      <c r="F69">
        <v>7.5623515880000003</v>
      </c>
      <c r="G69" s="8">
        <v>13.17</v>
      </c>
      <c r="H69" s="8">
        <v>0.35</v>
      </c>
      <c r="I69" s="8">
        <f t="shared" si="9"/>
        <v>13.125546841475417</v>
      </c>
      <c r="J69" s="3">
        <f t="shared" si="2"/>
        <v>-3.3753347399075873E-3</v>
      </c>
      <c r="K69">
        <f>SUMIFS($F$2:F69,$A$2:A69,$A69,$B$2:B69,$B69,$C$2:C69,"buy")
 -SUMIFS($F$2:F69,$A$2:A69,$A69,$B$2:B69,$B69,$C$2:C69,"sell")</f>
        <v>0</v>
      </c>
      <c r="L69" s="5">
        <f>COUNTIFS($A$2:A69,$A69,$B$2:B69,$B69,$K$2:K69,0)</f>
        <v>2</v>
      </c>
      <c r="M69" s="9">
        <f t="shared" si="10"/>
        <v>2</v>
      </c>
      <c r="N69" t="str">
        <f t="shared" si="11"/>
        <v>BSDEX|LINKEUR|002</v>
      </c>
      <c r="O69" s="2">
        <f t="shared" si="8"/>
        <v>-1.0861983059292313E-2</v>
      </c>
    </row>
    <row r="70" spans="1:15" x14ac:dyDescent="0.2">
      <c r="A70" t="s">
        <v>15</v>
      </c>
      <c r="B70" t="s">
        <v>17</v>
      </c>
      <c r="C70" t="s">
        <v>8</v>
      </c>
      <c r="D70" s="1">
        <v>45969.854861111111</v>
      </c>
      <c r="E70" s="8">
        <v>100</v>
      </c>
      <c r="F70">
        <v>7.3374600000000001</v>
      </c>
      <c r="G70" s="8">
        <v>13.49</v>
      </c>
      <c r="H70" s="8">
        <v>0.99</v>
      </c>
      <c r="I70" s="8">
        <f t="shared" si="9"/>
        <v>13.628694398334028</v>
      </c>
      <c r="J70" s="3">
        <f t="shared" si="2"/>
        <v>1.0281274895035386E-2</v>
      </c>
      <c r="K70">
        <f>SUMIFS($F$2:F70,$A$2:A70,$A70,$B$2:B70,$B70,$C$2:C70,"buy")
 -SUMIFS($F$2:F70,$A$2:A70,$A70,$B$2:B70,$B70,$C$2:C70,"sell")</f>
        <v>7.3374600000000001</v>
      </c>
      <c r="L70" s="5">
        <f>COUNTIFS($A$2:A70,$A70,$B$2:B70,$B70,$K$2:K70,0)</f>
        <v>1</v>
      </c>
      <c r="M70" s="9">
        <f t="shared" si="10"/>
        <v>2</v>
      </c>
      <c r="N70" t="str">
        <f t="shared" si="11"/>
        <v>Kraken|LINKEUR|002</v>
      </c>
      <c r="O70" s="2">
        <f t="shared" si="8"/>
        <v>-6.1800000000000077E-2</v>
      </c>
    </row>
    <row r="71" spans="1:15" x14ac:dyDescent="0.2">
      <c r="A71" t="s">
        <v>15</v>
      </c>
      <c r="B71" t="s">
        <v>17</v>
      </c>
      <c r="C71" t="s">
        <v>10</v>
      </c>
      <c r="D71" s="1">
        <v>45969.856944444444</v>
      </c>
      <c r="E71" s="8">
        <v>93.82</v>
      </c>
      <c r="F71">
        <v>7.3374600000000001</v>
      </c>
      <c r="G71" s="8">
        <v>12.91</v>
      </c>
      <c r="H71" s="8">
        <v>0.94</v>
      </c>
      <c r="I71" s="8">
        <f t="shared" si="9"/>
        <v>12.786441084516984</v>
      </c>
      <c r="J71" s="3">
        <f t="shared" ref="J71:J101" si="12">(E71/F71)/G71 - 1</f>
        <v>-9.5707912845094389E-3</v>
      </c>
      <c r="K71">
        <f>SUMIFS($F$2:F71,$A$2:A71,$A71,$B$2:B71,$B71,$C$2:C71,"buy")
 -SUMIFS($F$2:F71,$A$2:A71,$A71,$B$2:B71,$B71,$C$2:C71,"sell")</f>
        <v>0</v>
      </c>
      <c r="L71" s="5">
        <f>COUNTIFS($A$2:A71,$A71,$B$2:B71,$B71,$K$2:K71,0)</f>
        <v>2</v>
      </c>
      <c r="M71" s="9">
        <f t="shared" si="10"/>
        <v>2</v>
      </c>
      <c r="N71" t="str">
        <f t="shared" si="11"/>
        <v>Kraken|LINKEUR|002</v>
      </c>
      <c r="O71" s="2">
        <f t="shared" si="8"/>
        <v>-6.1800000000000077E-2</v>
      </c>
    </row>
    <row r="72" spans="1:15" x14ac:dyDescent="0.2">
      <c r="A72" t="s">
        <v>6</v>
      </c>
      <c r="B72" t="s">
        <v>17</v>
      </c>
      <c r="C72" t="s">
        <v>8</v>
      </c>
      <c r="D72" s="1">
        <v>45969.854861111111</v>
      </c>
      <c r="E72" s="8">
        <v>100</v>
      </c>
      <c r="F72">
        <v>7.5482406299999996</v>
      </c>
      <c r="G72" s="8">
        <v>13.215</v>
      </c>
      <c r="H72" s="8">
        <v>0.25</v>
      </c>
      <c r="I72" s="8">
        <f t="shared" si="9"/>
        <v>13.248120310653107</v>
      </c>
      <c r="J72" s="3">
        <f t="shared" si="12"/>
        <v>2.506266413401903E-3</v>
      </c>
      <c r="K72">
        <f>SUMIFS($F$2:F72,$A$2:A72,$A72,$B$2:B72,$B72,$C$2:C72,"buy")
 -SUMIFS($F$2:F72,$A$2:A72,$A72,$B$2:B72,$B72,$C$2:C72,"sell")</f>
        <v>7.5482406299999996</v>
      </c>
      <c r="L72" s="5">
        <f>COUNTIFS($A$2:A72,$A72,$B$2:B72,$B72,$K$2:K72,0)</f>
        <v>1</v>
      </c>
      <c r="M72" s="9">
        <f t="shared" si="10"/>
        <v>2</v>
      </c>
      <c r="N72" t="str">
        <f t="shared" si="11"/>
        <v>Bitvavo|LINKEUR|002</v>
      </c>
      <c r="O72" s="2">
        <f t="shared" si="8"/>
        <v>-5.4999999999999494E-3</v>
      </c>
    </row>
    <row r="73" spans="1:15" x14ac:dyDescent="0.2">
      <c r="A73" t="s">
        <v>6</v>
      </c>
      <c r="B73" t="s">
        <v>17</v>
      </c>
      <c r="C73" t="s">
        <v>10</v>
      </c>
      <c r="D73" s="1">
        <v>45969.856944444444</v>
      </c>
      <c r="E73" s="8">
        <v>99.45</v>
      </c>
      <c r="F73">
        <v>7.5482406299999996</v>
      </c>
      <c r="G73" s="8">
        <v>13.209</v>
      </c>
      <c r="H73" s="8">
        <v>0.25</v>
      </c>
      <c r="I73" s="8">
        <f t="shared" si="9"/>
        <v>13.175255648944516</v>
      </c>
      <c r="J73" s="3">
        <f t="shared" si="12"/>
        <v>-2.5546484257312763E-3</v>
      </c>
      <c r="K73">
        <f>SUMIFS($F$2:F73,$A$2:A73,$A73,$B$2:B73,$B73,$C$2:C73,"buy")
 -SUMIFS($F$2:F73,$A$2:A73,$A73,$B$2:B73,$B73,$C$2:C73,"sell")</f>
        <v>0</v>
      </c>
      <c r="L73" s="5">
        <f>COUNTIFS($A$2:A73,$A73,$B$2:B73,$B73,$K$2:K73,0)</f>
        <v>2</v>
      </c>
      <c r="M73" s="9">
        <f t="shared" si="10"/>
        <v>2</v>
      </c>
      <c r="N73" t="str">
        <f t="shared" si="11"/>
        <v>Bitvavo|LINKEUR|002</v>
      </c>
      <c r="O73" s="2">
        <f t="shared" si="8"/>
        <v>-5.4999999999999494E-3</v>
      </c>
    </row>
    <row r="74" spans="1:15" x14ac:dyDescent="0.2">
      <c r="A74" t="s">
        <v>14</v>
      </c>
      <c r="B74" t="s">
        <v>7</v>
      </c>
      <c r="C74" t="s">
        <v>8</v>
      </c>
      <c r="D74" s="1">
        <v>45970.624305555553</v>
      </c>
      <c r="E74" s="8">
        <v>100.35</v>
      </c>
      <c r="F74">
        <v>1.1244E-3</v>
      </c>
      <c r="G74" s="8">
        <v>88936.12</v>
      </c>
      <c r="H74" s="8">
        <v>0.35</v>
      </c>
      <c r="I74" s="8">
        <f t="shared" si="9"/>
        <v>89247.598719316957</v>
      </c>
      <c r="J74" s="3">
        <f t="shared" si="12"/>
        <v>3.502274658675919E-3</v>
      </c>
      <c r="K74">
        <f>SUMIFS($F$2:F74,$A$2:A74,$A74,$B$2:B74,$B74,$C$2:C74,"buy")
 -SUMIFS($F$2:F74,$A$2:A74,$A74,$B$2:B74,$B74,$C$2:C74,"sell")</f>
        <v>1.1243999999999998E-3</v>
      </c>
      <c r="L74" s="5">
        <f>COUNTIFS($A$2:A74,$A74,$B$2:B74,$B74,$K$2:K74,0)</f>
        <v>2</v>
      </c>
      <c r="M74" s="9">
        <f t="shared" si="10"/>
        <v>3</v>
      </c>
      <c r="N74" t="str">
        <f t="shared" si="11"/>
        <v>BSDEX|BTCEUR|003</v>
      </c>
      <c r="O74" s="2">
        <f t="shared" si="8"/>
        <v>-7.2745391131039394E-3</v>
      </c>
    </row>
    <row r="75" spans="1:15" x14ac:dyDescent="0.2">
      <c r="A75" t="s">
        <v>14</v>
      </c>
      <c r="B75" t="s">
        <v>7</v>
      </c>
      <c r="C75" t="s">
        <v>10</v>
      </c>
      <c r="D75" s="1">
        <v>45970.624305555553</v>
      </c>
      <c r="E75" s="8">
        <f>99.97-H75</f>
        <v>99.62</v>
      </c>
      <c r="F75">
        <v>1.1244E-3</v>
      </c>
      <c r="G75" s="8">
        <v>88912.5</v>
      </c>
      <c r="H75" s="8">
        <v>0.35</v>
      </c>
      <c r="I75" s="8">
        <f t="shared" si="9"/>
        <v>88598.363571682683</v>
      </c>
      <c r="J75" s="3">
        <f t="shared" si="12"/>
        <v>-3.5330963398545467E-3</v>
      </c>
      <c r="K75">
        <f>SUMIFS($F$2:F75,$A$2:A75,$A75,$B$2:B75,$B75,$C$2:C75,"buy")
 -SUMIFS($F$2:F75,$A$2:A75,$A75,$B$2:B75,$B75,$C$2:C75,"sell")</f>
        <v>0</v>
      </c>
      <c r="L75" s="5">
        <f>COUNTIFS($A$2:A75,$A75,$B$2:B75,$B75,$K$2:K75,0)</f>
        <v>3</v>
      </c>
      <c r="M75" s="9">
        <f t="shared" si="10"/>
        <v>3</v>
      </c>
      <c r="N75" t="str">
        <f t="shared" si="11"/>
        <v>BSDEX|BTCEUR|003</v>
      </c>
      <c r="O75" s="2">
        <f t="shared" si="8"/>
        <v>-7.2745391131039394E-3</v>
      </c>
    </row>
    <row r="76" spans="1:15" x14ac:dyDescent="0.2">
      <c r="A76" t="s">
        <v>6</v>
      </c>
      <c r="B76" t="s">
        <v>7</v>
      </c>
      <c r="C76" t="s">
        <v>8</v>
      </c>
      <c r="D76" s="1">
        <v>45970.624305555553</v>
      </c>
      <c r="E76" s="8">
        <v>100</v>
      </c>
      <c r="F76">
        <v>1.12188E-3</v>
      </c>
      <c r="G76" s="8">
        <v>88913</v>
      </c>
      <c r="H76" s="8">
        <v>0.25</v>
      </c>
      <c r="I76" s="8">
        <f t="shared" si="9"/>
        <v>89136.092986772201</v>
      </c>
      <c r="J76" s="3">
        <f t="shared" si="12"/>
        <v>2.5091155036069956E-3</v>
      </c>
      <c r="K76">
        <f>SUMIFS($F$2:F76,$A$2:A76,$A76,$B$2:B76,$B76,$C$2:C76,"buy")
 -SUMIFS($F$2:F76,$A$2:A76,$A76,$B$2:B76,$B76,$C$2:C76,"sell")</f>
        <v>1.12188E-3</v>
      </c>
      <c r="L76" s="5">
        <f>COUNTIFS($A$2:A76,$A76,$B$2:B76,$B76,$K$2:K76,0)</f>
        <v>2</v>
      </c>
      <c r="M76" s="9">
        <f t="shared" si="10"/>
        <v>3</v>
      </c>
      <c r="N76" t="str">
        <f t="shared" si="11"/>
        <v>Bitvavo|BTCEUR|003</v>
      </c>
      <c r="O76" s="2">
        <f t="shared" si="8"/>
        <v>-5.0000000000000044E-3</v>
      </c>
    </row>
    <row r="77" spans="1:15" x14ac:dyDescent="0.2">
      <c r="A77" t="s">
        <v>6</v>
      </c>
      <c r="B77" t="s">
        <v>7</v>
      </c>
      <c r="C77" t="s">
        <v>10</v>
      </c>
      <c r="D77" s="1">
        <v>45970.624305555553</v>
      </c>
      <c r="E77" s="8">
        <v>99.5</v>
      </c>
      <c r="F77">
        <v>1.12188E-3</v>
      </c>
      <c r="G77" s="8">
        <v>88918</v>
      </c>
      <c r="H77" s="8">
        <v>0.26</v>
      </c>
      <c r="I77" s="8">
        <f t="shared" si="9"/>
        <v>88690.412521838341</v>
      </c>
      <c r="J77" s="3">
        <f t="shared" si="12"/>
        <v>-2.5595208862284613E-3</v>
      </c>
      <c r="K77">
        <f>SUMIFS($F$2:F77,$A$2:A77,$A77,$B$2:B77,$B77,$C$2:C77,"buy")
 -SUMIFS($F$2:F77,$A$2:A77,$A77,$B$2:B77,$B77,$C$2:C77,"sell")</f>
        <v>0</v>
      </c>
      <c r="L77" s="5">
        <f>COUNTIFS($A$2:A77,$A77,$B$2:B77,$B77,$K$2:K77,0)</f>
        <v>3</v>
      </c>
      <c r="M77" s="9">
        <f t="shared" si="10"/>
        <v>3</v>
      </c>
      <c r="N77" t="str">
        <f t="shared" si="11"/>
        <v>Bitvavo|BTCEUR|003</v>
      </c>
      <c r="O77" s="2">
        <f t="shared" si="8"/>
        <v>-5.0000000000000044E-3</v>
      </c>
    </row>
    <row r="78" spans="1:15" x14ac:dyDescent="0.2">
      <c r="A78" t="s">
        <v>14</v>
      </c>
      <c r="B78" t="s">
        <v>16</v>
      </c>
      <c r="C78" t="s">
        <v>8</v>
      </c>
      <c r="D78" s="1">
        <v>45970.890277777777</v>
      </c>
      <c r="E78" s="8">
        <v>100.35</v>
      </c>
      <c r="F78">
        <v>3.2314666999999998E-2</v>
      </c>
      <c r="G78" s="8">
        <v>3094.57</v>
      </c>
      <c r="H78" s="8">
        <v>0.35</v>
      </c>
      <c r="I78" s="8">
        <f t="shared" si="9"/>
        <v>3105.4010242469772</v>
      </c>
      <c r="J78" s="3">
        <f t="shared" si="12"/>
        <v>3.500009451063324E-3</v>
      </c>
      <c r="K78">
        <f>SUMIFS($F$2:F78,$A$2:A78,$A78,$B$2:B78,$B78,$C$2:C78,"buy")
 -SUMIFS($F$2:F78,$A$2:A78,$A78,$B$2:B78,$B78,$C$2:C78,"sell")</f>
        <v>3.2314667000000005E-2</v>
      </c>
      <c r="L78" s="5">
        <f>COUNTIFS($A$2:A78,$A78,$B$2:B78,$B78,$K$2:K78,0)</f>
        <v>2</v>
      </c>
      <c r="M78" s="9">
        <f t="shared" si="10"/>
        <v>3</v>
      </c>
      <c r="N78" t="str">
        <f t="shared" si="11"/>
        <v>BSDEX|ETHEUR|003</v>
      </c>
      <c r="O78" s="2">
        <f t="shared" si="8"/>
        <v>-7.7727952167412351E-3</v>
      </c>
    </row>
    <row r="79" spans="1:15" x14ac:dyDescent="0.2">
      <c r="A79" t="s">
        <v>14</v>
      </c>
      <c r="B79" t="s">
        <v>16</v>
      </c>
      <c r="C79" t="s">
        <v>10</v>
      </c>
      <c r="D79" s="1">
        <v>45970.890277777777</v>
      </c>
      <c r="E79" s="8">
        <f>99.92-H79</f>
        <v>99.570000000000007</v>
      </c>
      <c r="F79">
        <v>3.2314666999999998E-2</v>
      </c>
      <c r="G79" s="8">
        <v>3092.01</v>
      </c>
      <c r="H79" s="8">
        <v>0.35</v>
      </c>
      <c r="I79" s="8">
        <f t="shared" si="9"/>
        <v>3081.263378019647</v>
      </c>
      <c r="J79" s="3">
        <f t="shared" si="12"/>
        <v>-3.4756103571311758E-3</v>
      </c>
      <c r="K79">
        <f>SUMIFS($F$2:F79,$A$2:A79,$A79,$B$2:B79,$B79,$C$2:C79,"buy")
 -SUMIFS($F$2:F79,$A$2:A79,$A79,$B$2:B79,$B79,$C$2:C79,"sell")</f>
        <v>0</v>
      </c>
      <c r="L79" s="5">
        <f>COUNTIFS($A$2:A79,$A79,$B$2:B79,$B79,$K$2:K79,0)</f>
        <v>3</v>
      </c>
      <c r="M79" s="9">
        <f t="shared" si="10"/>
        <v>3</v>
      </c>
      <c r="N79" t="str">
        <f t="shared" si="11"/>
        <v>BSDEX|ETHEUR|003</v>
      </c>
      <c r="O79" s="2">
        <f t="shared" si="8"/>
        <v>-7.7727952167412351E-3</v>
      </c>
    </row>
    <row r="80" spans="1:15" x14ac:dyDescent="0.2">
      <c r="A80" t="s">
        <v>6</v>
      </c>
      <c r="B80" t="s">
        <v>16</v>
      </c>
      <c r="C80" t="s">
        <v>8</v>
      </c>
      <c r="D80" s="1">
        <v>45970.890277777777</v>
      </c>
      <c r="E80" s="8">
        <v>100</v>
      </c>
      <c r="F80">
        <v>3.2243880000000003E-2</v>
      </c>
      <c r="G80" s="8">
        <v>3093.6</v>
      </c>
      <c r="H80" s="8">
        <v>0.25</v>
      </c>
      <c r="I80" s="8">
        <f t="shared" si="9"/>
        <v>3101.3637316600853</v>
      </c>
      <c r="J80" s="3">
        <f t="shared" si="12"/>
        <v>2.5096106995361467E-3</v>
      </c>
      <c r="K80">
        <f>SUMIFS($F$2:F80,$A$2:A80,$A80,$B$2:B80,$B80,$C$2:C80,"buy")
 -SUMIFS($F$2:F80,$A$2:A80,$A80,$B$2:B80,$B80,$C$2:C80,"sell")</f>
        <v>3.2243880000000003E-2</v>
      </c>
      <c r="L80" s="5">
        <f>COUNTIFS($A$2:A80,$A80,$B$2:B80,$B80,$K$2:K80,0)</f>
        <v>2</v>
      </c>
      <c r="M80" s="9">
        <f t="shared" si="10"/>
        <v>3</v>
      </c>
      <c r="N80" t="str">
        <f t="shared" si="11"/>
        <v>Bitvavo|ETHEUR|003</v>
      </c>
      <c r="O80" s="2">
        <f t="shared" si="8"/>
        <v>-5.4999999999999494E-3</v>
      </c>
    </row>
    <row r="81" spans="1:15" x14ac:dyDescent="0.2">
      <c r="A81" t="s">
        <v>6</v>
      </c>
      <c r="B81" t="s">
        <v>16</v>
      </c>
      <c r="C81" t="s">
        <v>10</v>
      </c>
      <c r="D81" s="1">
        <v>45970.890277777777</v>
      </c>
      <c r="E81" s="8">
        <v>99.45</v>
      </c>
      <c r="F81">
        <v>3.2243880000000003E-2</v>
      </c>
      <c r="G81" s="8">
        <v>3092.1</v>
      </c>
      <c r="H81" s="8">
        <v>0.25</v>
      </c>
      <c r="I81" s="8">
        <f t="shared" si="9"/>
        <v>3084.3062311359549</v>
      </c>
      <c r="J81" s="3">
        <f t="shared" si="12"/>
        <v>-2.5205423058908272E-3</v>
      </c>
      <c r="K81">
        <f>SUMIFS($F$2:F81,$A$2:A81,$A81,$B$2:B81,$B81,$C$2:C81,"buy")
 -SUMIFS($F$2:F81,$A$2:A81,$A81,$B$2:B81,$B81,$C$2:C81,"sell")</f>
        <v>0</v>
      </c>
      <c r="L81" s="5">
        <f>COUNTIFS($A$2:A81,$A81,$B$2:B81,$B81,$K$2:K81,0)</f>
        <v>3</v>
      </c>
      <c r="M81" s="9">
        <f t="shared" si="10"/>
        <v>3</v>
      </c>
      <c r="N81" t="str">
        <f t="shared" si="11"/>
        <v>Bitvavo|ETHEUR|003</v>
      </c>
      <c r="O81" s="2">
        <f t="shared" si="8"/>
        <v>-5.4999999999999494E-3</v>
      </c>
    </row>
    <row r="82" spans="1:15" x14ac:dyDescent="0.2">
      <c r="A82" t="s">
        <v>14</v>
      </c>
      <c r="B82" t="s">
        <v>17</v>
      </c>
      <c r="C82" t="s">
        <v>8</v>
      </c>
      <c r="D82" s="1">
        <v>45971.876388888886</v>
      </c>
      <c r="E82" s="8">
        <v>100.35</v>
      </c>
      <c r="F82">
        <v>7.1422449500000003</v>
      </c>
      <c r="G82" s="8">
        <v>14</v>
      </c>
      <c r="H82" s="8">
        <v>0.35</v>
      </c>
      <c r="I82" s="8">
        <f t="shared" si="9"/>
        <v>14.050204200851441</v>
      </c>
      <c r="J82" s="3">
        <f t="shared" si="12"/>
        <v>3.5860143465316074E-3</v>
      </c>
      <c r="K82">
        <f>SUMIFS($F$2:F82,$A$2:A82,$A82,$B$2:B82,$B82,$C$2:C82,"buy")
 -SUMIFS($F$2:F82,$A$2:A82,$A82,$B$2:B82,$B82,$C$2:C82,"sell")</f>
        <v>7.1422449500000003</v>
      </c>
      <c r="L82" s="5">
        <f>COUNTIFS($A$2:A82,$A82,$B$2:B82,$B82,$K$2:K82,0)</f>
        <v>2</v>
      </c>
      <c r="M82" s="9">
        <f t="shared" si="10"/>
        <v>3</v>
      </c>
      <c r="N82" t="str">
        <f t="shared" si="11"/>
        <v>BSDEX|LINKEUR|003</v>
      </c>
      <c r="O82" s="2">
        <f t="shared" si="8"/>
        <v>-1.0861983059292424E-2</v>
      </c>
    </row>
    <row r="83" spans="1:15" x14ac:dyDescent="0.2">
      <c r="A83" t="s">
        <v>14</v>
      </c>
      <c r="B83" t="s">
        <v>17</v>
      </c>
      <c r="C83" t="s">
        <v>10</v>
      </c>
      <c r="D83" s="1">
        <v>45971.876388888886</v>
      </c>
      <c r="E83" s="8">
        <f>99.61-H83</f>
        <v>99.26</v>
      </c>
      <c r="F83">
        <v>7.1422449500000003</v>
      </c>
      <c r="G83" s="8">
        <v>13.95</v>
      </c>
      <c r="H83" s="8">
        <v>0.35</v>
      </c>
      <c r="I83" s="8">
        <f t="shared" si="9"/>
        <v>13.897591120842193</v>
      </c>
      <c r="J83" s="3">
        <f t="shared" si="12"/>
        <v>-3.7569089002011946E-3</v>
      </c>
      <c r="K83">
        <f>SUMIFS($F$2:F83,$A$2:A83,$A83,$B$2:B83,$B83,$C$2:C83,"buy")
 -SUMIFS($F$2:F83,$A$2:A83,$A83,$B$2:B83,$B83,$C$2:C83,"sell")</f>
        <v>0</v>
      </c>
      <c r="L83" s="5">
        <f>COUNTIFS($A$2:A83,$A83,$B$2:B83,$B83,$K$2:K83,0)</f>
        <v>3</v>
      </c>
      <c r="M83" s="9">
        <f t="shared" si="10"/>
        <v>3</v>
      </c>
      <c r="N83" t="str">
        <f t="shared" si="11"/>
        <v>BSDEX|LINKEUR|003</v>
      </c>
      <c r="O83" s="2">
        <f t="shared" si="8"/>
        <v>-1.0861983059292424E-2</v>
      </c>
    </row>
    <row r="84" spans="1:15" x14ac:dyDescent="0.2">
      <c r="A84" t="s">
        <v>6</v>
      </c>
      <c r="B84" t="s">
        <v>17</v>
      </c>
      <c r="C84" t="s">
        <v>8</v>
      </c>
      <c r="D84" s="1">
        <v>45971.876388888886</v>
      </c>
      <c r="E84" s="8">
        <v>100</v>
      </c>
      <c r="F84">
        <v>7.1367246099999999</v>
      </c>
      <c r="G84" s="8">
        <v>13.977</v>
      </c>
      <c r="H84" s="8">
        <v>0.25</v>
      </c>
      <c r="I84" s="8">
        <f t="shared" si="9"/>
        <v>14.012030092891591</v>
      </c>
      <c r="J84" s="3">
        <f t="shared" si="12"/>
        <v>2.5062669307855945E-3</v>
      </c>
      <c r="K84">
        <f>SUMIFS($F$2:F84,$A$2:A84,$A84,$B$2:B84,$B84,$C$2:C84,"buy")
 -SUMIFS($F$2:F84,$A$2:A84,$A84,$B$2:B84,$B84,$C$2:C84,"sell")</f>
        <v>7.1367246100000017</v>
      </c>
      <c r="L84" s="5">
        <f>COUNTIFS($A$2:A84,$A84,$B$2:B84,$B84,$K$2:K84,0)</f>
        <v>2</v>
      </c>
      <c r="M84" s="9">
        <f t="shared" si="10"/>
        <v>3</v>
      </c>
      <c r="N84" t="str">
        <f t="shared" si="11"/>
        <v>Bitvavo|LINKEUR|003</v>
      </c>
      <c r="O84" s="2">
        <f t="shared" si="8"/>
        <v>-4.8999999999999044E-3</v>
      </c>
    </row>
    <row r="85" spans="1:15" x14ac:dyDescent="0.2">
      <c r="A85" t="s">
        <v>6</v>
      </c>
      <c r="B85" t="s">
        <v>17</v>
      </c>
      <c r="C85" t="s">
        <v>10</v>
      </c>
      <c r="D85" s="1">
        <v>45971.876388888886</v>
      </c>
      <c r="E85" s="8">
        <v>99.51</v>
      </c>
      <c r="F85">
        <v>7.1367246099999999</v>
      </c>
      <c r="G85" s="8">
        <v>13.978999999999999</v>
      </c>
      <c r="H85" s="8">
        <v>0.25</v>
      </c>
      <c r="I85" s="8">
        <f t="shared" si="9"/>
        <v>13.943371145436423</v>
      </c>
      <c r="J85" s="3">
        <f t="shared" si="12"/>
        <v>-2.5487412950552235E-3</v>
      </c>
      <c r="K85">
        <f>SUMIFS($F$2:F85,$A$2:A85,$A85,$B$2:B85,$B85,$C$2:C85,"buy")
 -SUMIFS($F$2:F85,$A$2:A85,$A85,$B$2:B85,$B85,$C$2:C85,"sell")</f>
        <v>0</v>
      </c>
      <c r="L85" s="5">
        <f>COUNTIFS($A$2:A85,$A85,$B$2:B85,$B85,$K$2:K85,0)</f>
        <v>3</v>
      </c>
      <c r="M85" s="9">
        <f t="shared" si="10"/>
        <v>3</v>
      </c>
      <c r="N85" t="str">
        <f t="shared" si="11"/>
        <v>Bitvavo|LINKEUR|003</v>
      </c>
      <c r="O85" s="2">
        <f t="shared" si="8"/>
        <v>-4.8999999999999044E-3</v>
      </c>
    </row>
    <row r="86" spans="1:15" x14ac:dyDescent="0.2">
      <c r="A86" t="s">
        <v>14</v>
      </c>
      <c r="B86" t="s">
        <v>7</v>
      </c>
      <c r="C86" t="s">
        <v>8</v>
      </c>
      <c r="D86" s="1">
        <v>45971.969444444447</v>
      </c>
      <c r="E86" s="8">
        <v>100.35</v>
      </c>
      <c r="F86">
        <v>1.09582E-3</v>
      </c>
      <c r="G86" s="8">
        <v>91225.1</v>
      </c>
      <c r="H86" s="8">
        <v>0.35</v>
      </c>
      <c r="I86" s="8">
        <f t="shared" si="9"/>
        <v>91575.258710372145</v>
      </c>
      <c r="J86" s="3">
        <f t="shared" si="12"/>
        <v>3.8384031409353092E-3</v>
      </c>
      <c r="K86">
        <f>SUMIFS($F$2:F86,$A$2:A86,$A86,$B$2:B86,$B86,$C$2:C86,"buy")
 -SUMIFS($F$2:F86,$A$2:A86,$A86,$B$2:B86,$B86,$C$2:C86,"sell")</f>
        <v>1.09582E-3</v>
      </c>
      <c r="L86" s="5">
        <f>COUNTIFS($A$2:A86,$A86,$B$2:B86,$B86,$K$2:K86,0)</f>
        <v>3</v>
      </c>
      <c r="M86" s="9">
        <f t="shared" si="10"/>
        <v>4</v>
      </c>
      <c r="N86" t="str">
        <f t="shared" si="11"/>
        <v>BSDEX|BTCEUR|004</v>
      </c>
      <c r="O86" s="2">
        <f t="shared" si="8"/>
        <v>-7.3741903338315762E-3</v>
      </c>
    </row>
    <row r="87" spans="1:15" x14ac:dyDescent="0.2">
      <c r="A87" t="s">
        <v>14</v>
      </c>
      <c r="B87" t="s">
        <v>7</v>
      </c>
      <c r="C87" t="s">
        <v>10</v>
      </c>
      <c r="D87" s="1">
        <v>45971.969444444447</v>
      </c>
      <c r="E87" s="8">
        <f>99.96-H87</f>
        <v>99.61</v>
      </c>
      <c r="F87">
        <v>1.09582E-3</v>
      </c>
      <c r="G87" s="8">
        <v>91215</v>
      </c>
      <c r="H87" s="8">
        <v>0.35</v>
      </c>
      <c r="I87" s="8">
        <f t="shared" si="9"/>
        <v>90899.965322771997</v>
      </c>
      <c r="J87" s="3">
        <f t="shared" si="12"/>
        <v>-3.4537595486269224E-3</v>
      </c>
      <c r="K87">
        <f>SUMIFS($F$2:F87,$A$2:A87,$A87,$B$2:B87,$B87,$C$2:C87,"buy")
 -SUMIFS($F$2:F87,$A$2:A87,$A87,$B$2:B87,$B87,$C$2:C87,"sell")</f>
        <v>0</v>
      </c>
      <c r="L87" s="5">
        <f>COUNTIFS($A$2:A87,$A87,$B$2:B87,$B87,$K$2:K87,0)</f>
        <v>4</v>
      </c>
      <c r="M87" s="9">
        <f t="shared" si="10"/>
        <v>4</v>
      </c>
      <c r="N87" t="str">
        <f t="shared" si="11"/>
        <v>BSDEX|BTCEUR|004</v>
      </c>
      <c r="O87" s="2">
        <f t="shared" si="8"/>
        <v>-7.3741903338315762E-3</v>
      </c>
    </row>
    <row r="88" spans="1:15" x14ac:dyDescent="0.2">
      <c r="A88" t="s">
        <v>6</v>
      </c>
      <c r="B88" t="s">
        <v>7</v>
      </c>
      <c r="C88" t="s">
        <v>8</v>
      </c>
      <c r="D88" s="1">
        <v>45971.969444444447</v>
      </c>
      <c r="E88" s="8">
        <v>100</v>
      </c>
      <c r="F88">
        <v>1.09337E-3</v>
      </c>
      <c r="G88" s="8">
        <v>91231</v>
      </c>
      <c r="H88" s="8">
        <v>0.25</v>
      </c>
      <c r="I88" s="8">
        <f t="shared" si="9"/>
        <v>91460.347366399306</v>
      </c>
      <c r="J88" s="3">
        <f t="shared" si="12"/>
        <v>2.5139192423551115E-3</v>
      </c>
      <c r="K88">
        <f>SUMIFS($F$2:F88,$A$2:A88,$A88,$B$2:B88,$B88,$C$2:C88,"buy")
 -SUMIFS($F$2:F88,$A$2:A88,$A88,$B$2:B88,$B88,$C$2:C88,"sell")</f>
        <v>1.0933700000000002E-3</v>
      </c>
      <c r="L88" s="5">
        <f>COUNTIFS($A$2:A88,$A88,$B$2:B88,$B88,$K$2:K88,0)</f>
        <v>3</v>
      </c>
      <c r="M88" s="9">
        <f t="shared" si="10"/>
        <v>4</v>
      </c>
      <c r="N88" t="str">
        <f t="shared" si="11"/>
        <v>Bitvavo|BTCEUR|004</v>
      </c>
      <c r="O88" s="2">
        <f t="shared" si="8"/>
        <v>-4.9000000000000155E-3</v>
      </c>
    </row>
    <row r="89" spans="1:15" x14ac:dyDescent="0.2">
      <c r="A89" t="s">
        <v>6</v>
      </c>
      <c r="B89" t="s">
        <v>7</v>
      </c>
      <c r="C89" t="s">
        <v>10</v>
      </c>
      <c r="D89" s="1">
        <v>45971.970138888886</v>
      </c>
      <c r="E89" s="8">
        <v>99.51</v>
      </c>
      <c r="F89">
        <v>1.09337E-3</v>
      </c>
      <c r="G89" s="8">
        <v>91242</v>
      </c>
      <c r="H89" s="8">
        <v>0.25</v>
      </c>
      <c r="I89" s="8">
        <f t="shared" si="9"/>
        <v>91012.191664303944</v>
      </c>
      <c r="J89" s="3">
        <f t="shared" si="12"/>
        <v>-2.5186683292349743E-3</v>
      </c>
      <c r="K89">
        <f>SUMIFS($F$2:F89,$A$2:A89,$A89,$B$2:B89,$B89,$C$2:C89,"buy")
 -SUMIFS($F$2:F89,$A$2:A89,$A89,$B$2:B89,$B89,$C$2:C89,"sell")</f>
        <v>0</v>
      </c>
      <c r="L89" s="5">
        <f>COUNTIFS($A$2:A89,$A89,$B$2:B89,$B89,$K$2:K89,0)</f>
        <v>4</v>
      </c>
      <c r="M89" s="9">
        <f t="shared" si="10"/>
        <v>4</v>
      </c>
      <c r="N89" t="str">
        <f t="shared" si="11"/>
        <v>Bitvavo|BTCEUR|004</v>
      </c>
      <c r="O89" s="2">
        <f t="shared" si="8"/>
        <v>-4.9000000000000155E-3</v>
      </c>
    </row>
    <row r="90" spans="1:15" x14ac:dyDescent="0.2">
      <c r="A90" t="s">
        <v>14</v>
      </c>
      <c r="B90" t="s">
        <v>16</v>
      </c>
      <c r="C90" t="s">
        <v>8</v>
      </c>
      <c r="D90" s="1">
        <v>45972.416666666664</v>
      </c>
      <c r="E90" s="8">
        <v>100.35</v>
      </c>
      <c r="F90">
        <v>3.2421006000000002E-2</v>
      </c>
      <c r="G90" s="8">
        <v>3084.42</v>
      </c>
      <c r="H90" s="8">
        <v>0.35</v>
      </c>
      <c r="I90" s="8">
        <f t="shared" si="9"/>
        <v>3095.2154908456569</v>
      </c>
      <c r="J90" s="3">
        <f t="shared" si="12"/>
        <v>3.5000067583716987E-3</v>
      </c>
      <c r="K90">
        <f>SUMIFS($F$2:F90,$A$2:A90,$A90,$B$2:B90,$B90,$C$2:C90,"buy")
 -SUMIFS($F$2:F90,$A$2:A90,$A90,$B$2:B90,$B90,$C$2:C90,"sell")</f>
        <v>3.2421006000000002E-2</v>
      </c>
      <c r="L90" s="5">
        <f>COUNTIFS($A$2:A90,$A90,$B$2:B90,$B90,$K$2:K90,0)</f>
        <v>3</v>
      </c>
      <c r="M90" s="9">
        <f t="shared" si="10"/>
        <v>4</v>
      </c>
      <c r="N90" t="str">
        <f t="shared" si="11"/>
        <v>BSDEX|ETHEUR|004</v>
      </c>
      <c r="O90" s="2">
        <f t="shared" si="8"/>
        <v>-7.7727952167412351E-3</v>
      </c>
    </row>
    <row r="91" spans="1:15" x14ac:dyDescent="0.2">
      <c r="A91" t="s">
        <v>14</v>
      </c>
      <c r="B91" t="s">
        <v>16</v>
      </c>
      <c r="C91" t="s">
        <v>10</v>
      </c>
      <c r="D91" s="1">
        <v>45972.416666666664</v>
      </c>
      <c r="E91" s="8">
        <f>99.92-H91</f>
        <v>99.570000000000007</v>
      </c>
      <c r="F91">
        <v>3.2421006000000002E-2</v>
      </c>
      <c r="G91" s="8">
        <v>3082.08</v>
      </c>
      <c r="H91" s="8">
        <v>0.35</v>
      </c>
      <c r="I91" s="8">
        <f t="shared" si="9"/>
        <v>3071.1570146836284</v>
      </c>
      <c r="J91" s="3">
        <f t="shared" si="12"/>
        <v>-3.5440304328153704E-3</v>
      </c>
      <c r="K91">
        <f>SUMIFS($F$2:F91,$A$2:A91,$A91,$B$2:B91,$B91,$C$2:C91,"buy")
 -SUMIFS($F$2:F91,$A$2:A91,$A91,$B$2:B91,$B91,$C$2:C91,"sell")</f>
        <v>0</v>
      </c>
      <c r="L91" s="5">
        <f>COUNTIFS($A$2:A91,$A91,$B$2:B91,$B91,$K$2:K91,0)</f>
        <v>4</v>
      </c>
      <c r="M91" s="9">
        <f t="shared" si="10"/>
        <v>4</v>
      </c>
      <c r="N91" t="str">
        <f t="shared" si="11"/>
        <v>BSDEX|ETHEUR|004</v>
      </c>
      <c r="O91" s="2">
        <f t="shared" si="8"/>
        <v>-7.7727952167412351E-3</v>
      </c>
    </row>
    <row r="92" spans="1:15" x14ac:dyDescent="0.2">
      <c r="A92" t="s">
        <v>6</v>
      </c>
      <c r="B92" t="s">
        <v>16</v>
      </c>
      <c r="C92" t="s">
        <v>8</v>
      </c>
      <c r="D92" s="1">
        <v>45972.416666666664</v>
      </c>
      <c r="E92" s="8">
        <v>100</v>
      </c>
      <c r="F92">
        <v>3.2370700000000002E-2</v>
      </c>
      <c r="G92" s="8">
        <v>3081.5</v>
      </c>
      <c r="H92" s="8">
        <v>0.25</v>
      </c>
      <c r="I92" s="8">
        <f t="shared" si="9"/>
        <v>3089.213393593589</v>
      </c>
      <c r="J92" s="3">
        <f t="shared" si="12"/>
        <v>2.5031295127662112E-3</v>
      </c>
      <c r="K92">
        <f>SUMIFS($F$2:F92,$A$2:A92,$A92,$B$2:B92,$B92,$C$2:C92,"buy")
 -SUMIFS($F$2:F92,$A$2:A92,$A92,$B$2:B92,$B92,$C$2:C92,"sell")</f>
        <v>3.2370700000000002E-2</v>
      </c>
      <c r="L92" s="5">
        <f>COUNTIFS($A$2:A92,$A92,$B$2:B92,$B92,$K$2:K92,0)</f>
        <v>3</v>
      </c>
      <c r="M92" s="9">
        <f t="shared" si="10"/>
        <v>4</v>
      </c>
      <c r="N92" t="str">
        <f t="shared" si="11"/>
        <v>Bitvavo|ETHEUR|004</v>
      </c>
      <c r="O92" s="2">
        <f t="shared" si="8"/>
        <v>-5.5999999999999384E-3</v>
      </c>
    </row>
    <row r="93" spans="1:15" x14ac:dyDescent="0.2">
      <c r="A93" t="s">
        <v>6</v>
      </c>
      <c r="B93" t="s">
        <v>16</v>
      </c>
      <c r="C93" t="s">
        <v>10</v>
      </c>
      <c r="D93" s="1">
        <v>45972.416666666664</v>
      </c>
      <c r="E93" s="8">
        <v>99.44</v>
      </c>
      <c r="F93">
        <v>3.2370700000000002E-2</v>
      </c>
      <c r="G93" s="8">
        <v>3079.8</v>
      </c>
      <c r="H93" s="8">
        <v>0.26</v>
      </c>
      <c r="I93" s="8">
        <f t="shared" si="9"/>
        <v>3071.9137985894649</v>
      </c>
      <c r="J93" s="3">
        <f t="shared" si="12"/>
        <v>-2.560621277529429E-3</v>
      </c>
      <c r="K93">
        <f>SUMIFS($F$2:F93,$A$2:A93,$A93,$B$2:B93,$B93,$C$2:C93,"buy")
 -SUMIFS($F$2:F93,$A$2:A93,$A93,$B$2:B93,$B93,$C$2:C93,"sell")</f>
        <v>0</v>
      </c>
      <c r="L93" s="5">
        <f>COUNTIFS($A$2:A93,$A93,$B$2:B93,$B93,$K$2:K93,0)</f>
        <v>4</v>
      </c>
      <c r="M93" s="9">
        <f t="shared" si="10"/>
        <v>4</v>
      </c>
      <c r="N93" t="str">
        <f t="shared" si="11"/>
        <v>Bitvavo|ETHEUR|004</v>
      </c>
      <c r="O93" s="2">
        <f t="shared" si="8"/>
        <v>-5.5999999999999384E-3</v>
      </c>
    </row>
    <row r="94" spans="1:15" x14ac:dyDescent="0.2">
      <c r="A94" t="s">
        <v>14</v>
      </c>
      <c r="B94" t="s">
        <v>17</v>
      </c>
      <c r="C94" t="s">
        <v>8</v>
      </c>
      <c r="D94" s="1">
        <v>45974.905555555553</v>
      </c>
      <c r="E94" s="8">
        <v>100.35</v>
      </c>
      <c r="F94">
        <v>8.1498928280000005</v>
      </c>
      <c r="G94" s="8">
        <v>12.27</v>
      </c>
      <c r="H94" s="8">
        <v>0.35</v>
      </c>
      <c r="I94" s="8">
        <f t="shared" si="9"/>
        <v>12.313045351373789</v>
      </c>
      <c r="J94" s="3">
        <f t="shared" si="12"/>
        <v>3.5081785960708878E-3</v>
      </c>
      <c r="K94">
        <f>SUMIFS($F$2:F94,$A$2:A94,$A94,$B$2:B94,$B94,$C$2:C94,"buy")
 -SUMIFS($F$2:F94,$A$2:A94,$A94,$B$2:B94,$B94,$C$2:C94,"sell")</f>
        <v>8.1498928280000023</v>
      </c>
      <c r="L94" s="5">
        <f>COUNTIFS($A$2:A94,$A94,$B$2:B94,$B94,$K$2:K94,0)</f>
        <v>3</v>
      </c>
      <c r="M94" s="9">
        <f t="shared" si="10"/>
        <v>4</v>
      </c>
      <c r="N94" t="str">
        <f t="shared" si="11"/>
        <v>BSDEX|LINKEUR|004</v>
      </c>
      <c r="O94" s="2">
        <f t="shared" si="8"/>
        <v>-6.9755854509216952E-3</v>
      </c>
    </row>
    <row r="95" spans="1:15" x14ac:dyDescent="0.2">
      <c r="A95" t="s">
        <v>14</v>
      </c>
      <c r="B95" t="s">
        <v>17</v>
      </c>
      <c r="C95" t="s">
        <v>10</v>
      </c>
      <c r="D95" s="1">
        <v>45974.905555555553</v>
      </c>
      <c r="E95" s="8">
        <f>100-H95</f>
        <v>99.65</v>
      </c>
      <c r="F95">
        <v>8.1498928280000005</v>
      </c>
      <c r="G95" s="8">
        <v>12.27</v>
      </c>
      <c r="H95" s="8">
        <v>0.35</v>
      </c>
      <c r="I95" s="8">
        <f t="shared" si="9"/>
        <v>12.227154651364208</v>
      </c>
      <c r="J95" s="3">
        <f t="shared" si="12"/>
        <v>-3.4918784544247794E-3</v>
      </c>
      <c r="K95">
        <f>SUMIFS($F$2:F95,$A$2:A95,$A95,$B$2:B95,$B95,$C$2:C95,"buy")
 -SUMIFS($F$2:F95,$A$2:A95,$A95,$B$2:B95,$B95,$C$2:C95,"sell")</f>
        <v>0</v>
      </c>
      <c r="L95" s="5">
        <f>COUNTIFS($A$2:A95,$A95,$B$2:B95,$B95,$K$2:K95,0)</f>
        <v>4</v>
      </c>
      <c r="M95" s="9">
        <f t="shared" si="10"/>
        <v>4</v>
      </c>
      <c r="N95" t="str">
        <f t="shared" si="11"/>
        <v>BSDEX|LINKEUR|004</v>
      </c>
      <c r="O95" s="2">
        <f t="shared" si="8"/>
        <v>-6.9755854509216952E-3</v>
      </c>
    </row>
    <row r="96" spans="1:15" x14ac:dyDescent="0.2">
      <c r="A96" t="s">
        <v>6</v>
      </c>
      <c r="B96" t="s">
        <v>17</v>
      </c>
      <c r="C96" t="s">
        <v>8</v>
      </c>
      <c r="D96" s="1">
        <v>45974.904861111114</v>
      </c>
      <c r="E96" s="8">
        <v>100</v>
      </c>
      <c r="F96">
        <v>8.1455169000000005</v>
      </c>
      <c r="G96" s="8">
        <v>12.246</v>
      </c>
      <c r="H96" s="8">
        <v>0.25</v>
      </c>
      <c r="I96" s="8">
        <f t="shared" si="9"/>
        <v>12.276691734566286</v>
      </c>
      <c r="J96" s="3">
        <f t="shared" si="12"/>
        <v>2.5062660922983149E-3</v>
      </c>
      <c r="K96">
        <f>SUMIFS($F$2:F96,$A$2:A96,$A96,$B$2:B96,$B96,$C$2:C96,"buy")
 -SUMIFS($F$2:F96,$A$2:A96,$A96,$B$2:B96,$B96,$C$2:C96,"sell")</f>
        <v>8.1455169000000005</v>
      </c>
      <c r="L96" s="5">
        <f>COUNTIFS($A$2:A96,$A96,$B$2:B96,$B96,$K$2:K96,0)</f>
        <v>3</v>
      </c>
      <c r="M96" s="9">
        <f t="shared" si="10"/>
        <v>4</v>
      </c>
      <c r="N96" t="str">
        <f t="shared" si="11"/>
        <v>Bitvavo|LINKEUR|004</v>
      </c>
      <c r="O96" s="2">
        <f t="shared" si="8"/>
        <v>-6.9000000000000172E-3</v>
      </c>
    </row>
    <row r="97" spans="1:15" x14ac:dyDescent="0.2">
      <c r="A97" t="s">
        <v>6</v>
      </c>
      <c r="B97" t="s">
        <v>17</v>
      </c>
      <c r="C97" t="s">
        <v>10</v>
      </c>
      <c r="D97" s="1">
        <v>45974.905555555553</v>
      </c>
      <c r="E97" s="8">
        <v>99.31</v>
      </c>
      <c r="F97">
        <v>8.1455169000000005</v>
      </c>
      <c r="G97" s="8">
        <v>12.223000000000001</v>
      </c>
      <c r="H97" s="8">
        <v>0.25</v>
      </c>
      <c r="I97" s="8">
        <f t="shared" si="9"/>
        <v>12.191982561597779</v>
      </c>
      <c r="J97" s="3">
        <f t="shared" si="12"/>
        <v>-2.5376289292499132E-3</v>
      </c>
      <c r="K97">
        <f>SUMIFS($F$2:F97,$A$2:A97,$A97,$B$2:B97,$B97,$C$2:C97,"buy")
 -SUMIFS($F$2:F97,$A$2:A97,$A97,$B$2:B97,$B97,$C$2:C97,"sell")</f>
        <v>0</v>
      </c>
      <c r="L97" s="5">
        <f>COUNTIFS($A$2:A97,$A97,$B$2:B97,$B97,$K$2:K97,0)</f>
        <v>4</v>
      </c>
      <c r="M97" s="9">
        <f t="shared" si="10"/>
        <v>4</v>
      </c>
      <c r="N97" t="str">
        <f t="shared" si="11"/>
        <v>Bitvavo|LINKEUR|004</v>
      </c>
      <c r="O97" s="2">
        <f t="shared" si="8"/>
        <v>-6.9000000000000172E-3</v>
      </c>
    </row>
    <row r="98" spans="1:15" x14ac:dyDescent="0.2">
      <c r="A98" t="s">
        <v>6</v>
      </c>
      <c r="B98" t="s">
        <v>7</v>
      </c>
      <c r="C98" t="s">
        <v>8</v>
      </c>
      <c r="D98" s="1">
        <v>45975.602777777778</v>
      </c>
      <c r="E98" s="8">
        <v>100</v>
      </c>
      <c r="F98">
        <v>1.22338E-3</v>
      </c>
      <c r="G98" s="8">
        <v>81536</v>
      </c>
      <c r="H98" s="8">
        <v>0.25</v>
      </c>
      <c r="I98" s="8">
        <f t="shared" si="9"/>
        <v>81740.751034020504</v>
      </c>
      <c r="J98" s="3">
        <f t="shared" si="12"/>
        <v>2.5111733960521132E-3</v>
      </c>
      <c r="K98">
        <f>SUMIFS($F$2:F98,$A$2:A98,$A98,$B$2:B98,$B98,$C$2:C98,"buy")
 -SUMIFS($F$2:F98,$A$2:A98,$A98,$B$2:B98,$B98,$C$2:C98,"sell")</f>
        <v>1.2233800000000005E-3</v>
      </c>
      <c r="L98" s="5">
        <f>COUNTIFS($A$2:A98,$A98,$B$2:B98,$B98,$K$2:K98,0)</f>
        <v>4</v>
      </c>
      <c r="M98" s="9">
        <f t="shared" si="10"/>
        <v>5</v>
      </c>
      <c r="N98" t="str">
        <f t="shared" si="11"/>
        <v>Bitvavo|BTCEUR|005</v>
      </c>
      <c r="O98" s="2">
        <f t="shared" si="8"/>
        <v>-5.1999999999999824E-3</v>
      </c>
    </row>
    <row r="99" spans="1:15" x14ac:dyDescent="0.2">
      <c r="A99" t="s">
        <v>6</v>
      </c>
      <c r="B99" t="s">
        <v>7</v>
      </c>
      <c r="C99" t="s">
        <v>10</v>
      </c>
      <c r="D99" s="1">
        <v>45975.602777777778</v>
      </c>
      <c r="E99" s="8">
        <v>99.48</v>
      </c>
      <c r="F99">
        <v>1.22338E-3</v>
      </c>
      <c r="G99" s="8">
        <v>61524</v>
      </c>
      <c r="H99" s="8">
        <v>0.25</v>
      </c>
      <c r="I99" s="8">
        <f t="shared" si="9"/>
        <v>81315.699128643595</v>
      </c>
      <c r="J99" s="3">
        <f t="shared" si="12"/>
        <v>0.32169070815687539</v>
      </c>
      <c r="K99">
        <f>SUMIFS($F$2:F99,$A$2:A99,$A99,$B$2:B99,$B99,$C$2:C99,"buy")
 -SUMIFS($F$2:F99,$A$2:A99,$A99,$B$2:B99,$B99,$C$2:C99,"sell")</f>
        <v>0</v>
      </c>
      <c r="L99" s="5">
        <f>COUNTIFS($A$2:A99,$A99,$B$2:B99,$B99,$K$2:K99,0)</f>
        <v>5</v>
      </c>
      <c r="M99" s="9">
        <f t="shared" si="10"/>
        <v>5</v>
      </c>
      <c r="N99" t="str">
        <f t="shared" si="11"/>
        <v>Bitvavo|BTCEUR|005</v>
      </c>
      <c r="O99" s="2">
        <f t="shared" si="8"/>
        <v>-5.1999999999999824E-3</v>
      </c>
    </row>
    <row r="100" spans="1:15" x14ac:dyDescent="0.2">
      <c r="A100" t="s">
        <v>14</v>
      </c>
      <c r="B100" t="s">
        <v>7</v>
      </c>
      <c r="C100" t="s">
        <v>8</v>
      </c>
      <c r="D100" s="1">
        <v>45975.602777777778</v>
      </c>
      <c r="E100" s="8">
        <v>100.35</v>
      </c>
      <c r="F100">
        <v>1.22602E-3</v>
      </c>
      <c r="G100" s="8">
        <v>81564.289999999994</v>
      </c>
      <c r="H100" s="8">
        <v>0.35</v>
      </c>
      <c r="I100" s="8">
        <f t="shared" si="9"/>
        <v>81850.214515260755</v>
      </c>
      <c r="J100" s="3">
        <f t="shared" si="12"/>
        <v>3.5055109933619377E-3</v>
      </c>
      <c r="K100">
        <f>SUMIFS($F$2:F100,$A$2:A100,$A100,$B$2:B100,$B100,$C$2:C100,"buy")
 -SUMIFS($F$2:F100,$A$2:A100,$A100,$B$2:B100,$B100,$C$2:C100,"sell")</f>
        <v>1.2260200000000004E-3</v>
      </c>
      <c r="L100" s="5">
        <f>COUNTIFS($A$2:A100,$A100,$B$2:B100,$B100,$K$2:K100,0)</f>
        <v>4</v>
      </c>
      <c r="M100" s="9">
        <f t="shared" si="10"/>
        <v>5</v>
      </c>
      <c r="N100" t="str">
        <f t="shared" si="11"/>
        <v>BSDEX|BTCEUR|005</v>
      </c>
      <c r="O100" s="2">
        <f t="shared" si="8"/>
        <v>-7.3741903338315762E-3</v>
      </c>
    </row>
    <row r="101" spans="1:15" x14ac:dyDescent="0.2">
      <c r="A101" t="s">
        <v>14</v>
      </c>
      <c r="B101" t="s">
        <v>7</v>
      </c>
      <c r="C101" t="s">
        <v>10</v>
      </c>
      <c r="D101" s="1">
        <v>45975.602777777778</v>
      </c>
      <c r="E101" s="8">
        <f>99.96-H101</f>
        <v>99.61</v>
      </c>
      <c r="F101">
        <v>1.22602E-3</v>
      </c>
      <c r="G101" s="8">
        <v>81534.61</v>
      </c>
      <c r="H101" s="8">
        <v>0.35</v>
      </c>
      <c r="I101" s="8">
        <f t="shared" si="9"/>
        <v>81246.635454560281</v>
      </c>
      <c r="J101" s="3">
        <f t="shared" si="12"/>
        <v>-3.5319301268469383E-3</v>
      </c>
      <c r="K101">
        <f>SUMIFS($F$2:F101,$A$2:A101,$A101,$B$2:B101,$B101,$C$2:C101,"buy")
 -SUMIFS($F$2:F101,$A$2:A101,$A101,$B$2:B101,$B101,$C$2:C101,"sell")</f>
        <v>0</v>
      </c>
      <c r="L101" s="5">
        <f>COUNTIFS($A$2:A101,$A101,$B$2:B101,$B101,$K$2:K101,0)</f>
        <v>5</v>
      </c>
      <c r="M101" s="9">
        <f t="shared" si="10"/>
        <v>5</v>
      </c>
      <c r="N101" t="str">
        <f t="shared" si="11"/>
        <v>BSDEX|BTCEUR|005</v>
      </c>
      <c r="O101" s="2">
        <f t="shared" si="8"/>
        <v>-7.3741903338315762E-3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Output</vt:lpstr>
      <vt:lpstr>Pivot</vt:lpstr>
      <vt:lpstr>Input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Rihacek</dc:creator>
  <cp:lastModifiedBy>Felix Rihacek</cp:lastModifiedBy>
  <dcterms:created xsi:type="dcterms:W3CDTF">2025-10-31T13:14:58Z</dcterms:created>
  <dcterms:modified xsi:type="dcterms:W3CDTF">2025-12-21T16:01:45Z</dcterms:modified>
</cp:coreProperties>
</file>